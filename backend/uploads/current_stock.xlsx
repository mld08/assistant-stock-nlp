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INE\Downloads\"/>
    </mc:Choice>
  </mc:AlternateContent>
  <xr:revisionPtr revIDLastSave="0" documentId="13_ncr:1_{5199AA80-CD97-465B-9FE2-88C01FF3B4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ock actif" sheetId="2" r:id="rId1"/>
  </sheets>
  <externalReferences>
    <externalReference r:id="rId2"/>
    <externalReference r:id="rId3"/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26" i="2" l="1"/>
  <c r="J526" i="2"/>
  <c r="H526" i="2"/>
  <c r="E526" i="2"/>
  <c r="G526" i="2" s="1"/>
  <c r="K525" i="2"/>
  <c r="J525" i="2"/>
  <c r="H525" i="2"/>
  <c r="E525" i="2"/>
  <c r="G525" i="2" s="1"/>
  <c r="K524" i="2"/>
  <c r="J524" i="2"/>
  <c r="H524" i="2"/>
  <c r="E524" i="2"/>
  <c r="G524" i="2" s="1"/>
  <c r="K523" i="2"/>
  <c r="J523" i="2"/>
  <c r="H523" i="2"/>
  <c r="E523" i="2"/>
  <c r="G523" i="2" s="1"/>
  <c r="K522" i="2"/>
  <c r="J522" i="2"/>
  <c r="H522" i="2"/>
  <c r="F522" i="2"/>
  <c r="G522" i="2" s="1"/>
  <c r="K521" i="2"/>
  <c r="J521" i="2"/>
  <c r="H521" i="2"/>
  <c r="I521" i="2" s="1"/>
  <c r="F521" i="2"/>
  <c r="E521" i="2"/>
  <c r="G521" i="2" s="1"/>
  <c r="K520" i="2"/>
  <c r="J520" i="2"/>
  <c r="H520" i="2"/>
  <c r="F520" i="2"/>
  <c r="E520" i="2"/>
  <c r="G520" i="2" s="1"/>
  <c r="I520" i="2" s="1"/>
  <c r="K519" i="2"/>
  <c r="J519" i="2"/>
  <c r="H519" i="2"/>
  <c r="E519" i="2"/>
  <c r="G519" i="2" s="1"/>
  <c r="K518" i="2"/>
  <c r="J518" i="2"/>
  <c r="H518" i="2"/>
  <c r="F518" i="2"/>
  <c r="G518" i="2" s="1"/>
  <c r="K517" i="2"/>
  <c r="J517" i="2"/>
  <c r="H517" i="2"/>
  <c r="F517" i="2"/>
  <c r="E517" i="2"/>
  <c r="G517" i="2" s="1"/>
  <c r="K516" i="2"/>
  <c r="J516" i="2"/>
  <c r="H516" i="2"/>
  <c r="G516" i="2"/>
  <c r="I516" i="2" s="1"/>
  <c r="F516" i="2"/>
  <c r="K515" i="2"/>
  <c r="J515" i="2"/>
  <c r="I515" i="2"/>
  <c r="H515" i="2"/>
  <c r="G515" i="2"/>
  <c r="F515" i="2"/>
  <c r="K514" i="2"/>
  <c r="J514" i="2"/>
  <c r="I514" i="2"/>
  <c r="H514" i="2"/>
  <c r="G514" i="2"/>
  <c r="E514" i="2"/>
  <c r="K513" i="2"/>
  <c r="J513" i="2"/>
  <c r="H513" i="2"/>
  <c r="G513" i="2"/>
  <c r="I513" i="2" s="1"/>
  <c r="F513" i="2"/>
  <c r="K512" i="2"/>
  <c r="J512" i="2"/>
  <c r="H512" i="2"/>
  <c r="G512" i="2"/>
  <c r="I512" i="2" s="1"/>
  <c r="E512" i="2"/>
  <c r="K511" i="2"/>
  <c r="J511" i="2"/>
  <c r="H511" i="2"/>
  <c r="F511" i="2"/>
  <c r="E511" i="2"/>
  <c r="G511" i="2" s="1"/>
  <c r="K510" i="2"/>
  <c r="J510" i="2"/>
  <c r="H510" i="2"/>
  <c r="I510" i="2" s="1"/>
  <c r="G510" i="2"/>
  <c r="F510" i="2"/>
  <c r="E510" i="2"/>
  <c r="K509" i="2"/>
  <c r="J509" i="2"/>
  <c r="H509" i="2"/>
  <c r="F509" i="2"/>
  <c r="G509" i="2" s="1"/>
  <c r="I509" i="2" s="1"/>
  <c r="E509" i="2"/>
  <c r="K508" i="2"/>
  <c r="J508" i="2"/>
  <c r="H508" i="2"/>
  <c r="F508" i="2"/>
  <c r="E508" i="2"/>
  <c r="G508" i="2" s="1"/>
  <c r="K507" i="2"/>
  <c r="J507" i="2"/>
  <c r="H507" i="2"/>
  <c r="G507" i="2"/>
  <c r="I507" i="2" s="1"/>
  <c r="E507" i="2"/>
  <c r="K506" i="2"/>
  <c r="J506" i="2"/>
  <c r="H506" i="2"/>
  <c r="I506" i="2" s="1"/>
  <c r="G506" i="2"/>
  <c r="E506" i="2"/>
  <c r="K505" i="2"/>
  <c r="J505" i="2"/>
  <c r="H505" i="2"/>
  <c r="I505" i="2" s="1"/>
  <c r="F505" i="2"/>
  <c r="G505" i="2" s="1"/>
  <c r="K504" i="2"/>
  <c r="J504" i="2"/>
  <c r="H504" i="2"/>
  <c r="F504" i="2"/>
  <c r="G504" i="2" s="1"/>
  <c r="I504" i="2" s="1"/>
  <c r="K503" i="2"/>
  <c r="J503" i="2"/>
  <c r="H503" i="2"/>
  <c r="G503" i="2"/>
  <c r="I503" i="2" s="1"/>
  <c r="F503" i="2"/>
  <c r="E503" i="2"/>
  <c r="K502" i="2"/>
  <c r="J502" i="2"/>
  <c r="H502" i="2"/>
  <c r="F502" i="2"/>
  <c r="G502" i="2" s="1"/>
  <c r="E502" i="2"/>
  <c r="K501" i="2"/>
  <c r="J501" i="2"/>
  <c r="H501" i="2"/>
  <c r="I501" i="2" s="1"/>
  <c r="G501" i="2"/>
  <c r="F501" i="2"/>
  <c r="K500" i="2"/>
  <c r="J500" i="2"/>
  <c r="H500" i="2"/>
  <c r="F500" i="2"/>
  <c r="G500" i="2" s="1"/>
  <c r="K499" i="2"/>
  <c r="J499" i="2"/>
  <c r="H499" i="2"/>
  <c r="F499" i="2"/>
  <c r="G499" i="2" s="1"/>
  <c r="I499" i="2" s="1"/>
  <c r="E499" i="2"/>
  <c r="K498" i="2"/>
  <c r="J498" i="2"/>
  <c r="H498" i="2"/>
  <c r="I498" i="2" s="1"/>
  <c r="G498" i="2"/>
  <c r="E498" i="2"/>
  <c r="K497" i="2"/>
  <c r="J497" i="2"/>
  <c r="H497" i="2"/>
  <c r="F497" i="2"/>
  <c r="G497" i="2" s="1"/>
  <c r="K496" i="2"/>
  <c r="J496" i="2"/>
  <c r="H496" i="2"/>
  <c r="F496" i="2"/>
  <c r="G496" i="2" s="1"/>
  <c r="I496" i="2" s="1"/>
  <c r="E496" i="2"/>
  <c r="K495" i="2"/>
  <c r="J495" i="2"/>
  <c r="H495" i="2"/>
  <c r="F495" i="2"/>
  <c r="G495" i="2" s="1"/>
  <c r="K494" i="2"/>
  <c r="J494" i="2"/>
  <c r="H494" i="2"/>
  <c r="F494" i="2"/>
  <c r="G494" i="2" s="1"/>
  <c r="I494" i="2" s="1"/>
  <c r="E494" i="2"/>
  <c r="K493" i="2"/>
  <c r="J493" i="2"/>
  <c r="H493" i="2"/>
  <c r="I493" i="2" s="1"/>
  <c r="G493" i="2"/>
  <c r="F493" i="2"/>
  <c r="K492" i="2"/>
  <c r="J492" i="2"/>
  <c r="H492" i="2"/>
  <c r="F492" i="2"/>
  <c r="G492" i="2" s="1"/>
  <c r="K491" i="2"/>
  <c r="J491" i="2"/>
  <c r="H491" i="2"/>
  <c r="E491" i="2"/>
  <c r="G491" i="2" s="1"/>
  <c r="I491" i="2" s="1"/>
  <c r="K490" i="2"/>
  <c r="J490" i="2"/>
  <c r="H490" i="2"/>
  <c r="G490" i="2"/>
  <c r="I490" i="2" s="1"/>
  <c r="F490" i="2"/>
  <c r="E490" i="2"/>
  <c r="K489" i="2"/>
  <c r="J489" i="2"/>
  <c r="H489" i="2"/>
  <c r="F489" i="2"/>
  <c r="G489" i="2" s="1"/>
  <c r="I489" i="2" s="1"/>
  <c r="K488" i="2"/>
  <c r="J488" i="2"/>
  <c r="H488" i="2"/>
  <c r="G488" i="2"/>
  <c r="I488" i="2" s="1"/>
  <c r="F488" i="2"/>
  <c r="K487" i="2"/>
  <c r="J487" i="2"/>
  <c r="H487" i="2"/>
  <c r="I487" i="2" s="1"/>
  <c r="G487" i="2"/>
  <c r="E487" i="2"/>
  <c r="K486" i="2"/>
  <c r="J486" i="2"/>
  <c r="H486" i="2"/>
  <c r="E486" i="2"/>
  <c r="G486" i="2" s="1"/>
  <c r="K485" i="2"/>
  <c r="J485" i="2"/>
  <c r="H485" i="2"/>
  <c r="F485" i="2"/>
  <c r="G485" i="2" s="1"/>
  <c r="I485" i="2" s="1"/>
  <c r="K484" i="2"/>
  <c r="J484" i="2"/>
  <c r="H484" i="2"/>
  <c r="G484" i="2"/>
  <c r="I484" i="2" s="1"/>
  <c r="F484" i="2"/>
  <c r="E484" i="2"/>
  <c r="K483" i="2"/>
  <c r="J483" i="2"/>
  <c r="H483" i="2"/>
  <c r="F483" i="2"/>
  <c r="G483" i="2" s="1"/>
  <c r="K482" i="2"/>
  <c r="J482" i="2"/>
  <c r="H482" i="2"/>
  <c r="F482" i="2"/>
  <c r="G482" i="2" s="1"/>
  <c r="I482" i="2" s="1"/>
  <c r="K481" i="2"/>
  <c r="J481" i="2"/>
  <c r="H481" i="2"/>
  <c r="G481" i="2"/>
  <c r="I481" i="2" s="1"/>
  <c r="F481" i="2"/>
  <c r="E481" i="2"/>
  <c r="K480" i="2"/>
  <c r="J480" i="2"/>
  <c r="H480" i="2"/>
  <c r="E480" i="2"/>
  <c r="G480" i="2" s="1"/>
  <c r="I480" i="2" s="1"/>
  <c r="K479" i="2"/>
  <c r="J479" i="2"/>
  <c r="H479" i="2"/>
  <c r="G479" i="2"/>
  <c r="I479" i="2" s="1"/>
  <c r="E479" i="2"/>
  <c r="K478" i="2"/>
  <c r="J478" i="2"/>
  <c r="H478" i="2"/>
  <c r="I478" i="2" s="1"/>
  <c r="F478" i="2"/>
  <c r="E478" i="2"/>
  <c r="G478" i="2" s="1"/>
  <c r="K477" i="2"/>
  <c r="J477" i="2"/>
  <c r="H477" i="2"/>
  <c r="F477" i="2"/>
  <c r="G477" i="2" s="1"/>
  <c r="I477" i="2" s="1"/>
  <c r="K476" i="2"/>
  <c r="J476" i="2"/>
  <c r="I476" i="2"/>
  <c r="H476" i="2"/>
  <c r="G476" i="2"/>
  <c r="F476" i="2"/>
  <c r="E476" i="2"/>
  <c r="K475" i="2"/>
  <c r="J475" i="2"/>
  <c r="H475" i="2"/>
  <c r="F475" i="2"/>
  <c r="G475" i="2" s="1"/>
  <c r="I475" i="2" s="1"/>
  <c r="E475" i="2"/>
  <c r="K474" i="2"/>
  <c r="J474" i="2"/>
  <c r="H474" i="2"/>
  <c r="I474" i="2" s="1"/>
  <c r="G474" i="2"/>
  <c r="F474" i="2"/>
  <c r="E474" i="2"/>
  <c r="K473" i="2"/>
  <c r="J473" i="2"/>
  <c r="H473" i="2"/>
  <c r="G473" i="2"/>
  <c r="I473" i="2" s="1"/>
  <c r="F473" i="2"/>
  <c r="E473" i="2"/>
  <c r="K472" i="2"/>
  <c r="J472" i="2"/>
  <c r="H472" i="2"/>
  <c r="E472" i="2"/>
  <c r="G472" i="2" s="1"/>
  <c r="K471" i="2"/>
  <c r="J471" i="2"/>
  <c r="H471" i="2"/>
  <c r="E471" i="2"/>
  <c r="G471" i="2" s="1"/>
  <c r="I471" i="2" s="1"/>
  <c r="K470" i="2"/>
  <c r="J470" i="2"/>
  <c r="I470" i="2"/>
  <c r="H470" i="2"/>
  <c r="G470" i="2"/>
  <c r="F470" i="2"/>
  <c r="E470" i="2"/>
  <c r="K469" i="2"/>
  <c r="J469" i="2"/>
  <c r="H469" i="2"/>
  <c r="E469" i="2"/>
  <c r="G469" i="2" s="1"/>
  <c r="I469" i="2" s="1"/>
  <c r="K468" i="2"/>
  <c r="J468" i="2"/>
  <c r="H468" i="2"/>
  <c r="G468" i="2"/>
  <c r="I468" i="2" s="1"/>
  <c r="E468" i="2"/>
  <c r="K467" i="2"/>
  <c r="J467" i="2"/>
  <c r="H467" i="2"/>
  <c r="F467" i="2"/>
  <c r="G467" i="2" s="1"/>
  <c r="I467" i="2" s="1"/>
  <c r="K466" i="2"/>
  <c r="J466" i="2"/>
  <c r="H466" i="2"/>
  <c r="I466" i="2" s="1"/>
  <c r="G466" i="2"/>
  <c r="F466" i="2"/>
  <c r="K465" i="2"/>
  <c r="J465" i="2"/>
  <c r="H465" i="2"/>
  <c r="F465" i="2"/>
  <c r="G465" i="2" s="1"/>
  <c r="I465" i="2" s="1"/>
  <c r="K464" i="2"/>
  <c r="J464" i="2"/>
  <c r="H464" i="2"/>
  <c r="I464" i="2" s="1"/>
  <c r="G464" i="2"/>
  <c r="F464" i="2"/>
  <c r="E464" i="2"/>
  <c r="K463" i="2"/>
  <c r="J463" i="2"/>
  <c r="H463" i="2"/>
  <c r="I463" i="2" s="1"/>
  <c r="F463" i="2"/>
  <c r="G463" i="2" s="1"/>
  <c r="K462" i="2"/>
  <c r="J462" i="2"/>
  <c r="H462" i="2"/>
  <c r="F462" i="2"/>
  <c r="E462" i="2"/>
  <c r="G462" i="2" s="1"/>
  <c r="I462" i="2" s="1"/>
  <c r="K461" i="2"/>
  <c r="J461" i="2"/>
  <c r="H461" i="2"/>
  <c r="I461" i="2" s="1"/>
  <c r="F461" i="2"/>
  <c r="E461" i="2"/>
  <c r="G461" i="2" s="1"/>
  <c r="K460" i="2"/>
  <c r="J460" i="2"/>
  <c r="I460" i="2"/>
  <c r="H460" i="2"/>
  <c r="G460" i="2"/>
  <c r="F460" i="2"/>
  <c r="K459" i="2"/>
  <c r="J459" i="2"/>
  <c r="H459" i="2"/>
  <c r="I459" i="2" s="1"/>
  <c r="G459" i="2"/>
  <c r="F459" i="2"/>
  <c r="K458" i="2"/>
  <c r="J458" i="2"/>
  <c r="H458" i="2"/>
  <c r="E458" i="2"/>
  <c r="G458" i="2" s="1"/>
  <c r="K457" i="2"/>
  <c r="J457" i="2"/>
  <c r="H457" i="2"/>
  <c r="F457" i="2"/>
  <c r="G457" i="2" s="1"/>
  <c r="I457" i="2" s="1"/>
  <c r="K456" i="2"/>
  <c r="J456" i="2"/>
  <c r="I456" i="2"/>
  <c r="H456" i="2"/>
  <c r="G456" i="2"/>
  <c r="F456" i="2"/>
  <c r="K455" i="2"/>
  <c r="J455" i="2"/>
  <c r="H455" i="2"/>
  <c r="I455" i="2" s="1"/>
  <c r="G455" i="2"/>
  <c r="F455" i="2"/>
  <c r="E455" i="2"/>
  <c r="K454" i="2"/>
  <c r="J454" i="2"/>
  <c r="H454" i="2"/>
  <c r="G454" i="2"/>
  <c r="I454" i="2" s="1"/>
  <c r="F454" i="2"/>
  <c r="E454" i="2"/>
  <c r="K453" i="2"/>
  <c r="J453" i="2"/>
  <c r="H453" i="2"/>
  <c r="E453" i="2"/>
  <c r="G453" i="2" s="1"/>
  <c r="K452" i="2"/>
  <c r="J452" i="2"/>
  <c r="H452" i="2"/>
  <c r="F452" i="2"/>
  <c r="G452" i="2" s="1"/>
  <c r="I452" i="2" s="1"/>
  <c r="K451" i="2"/>
  <c r="J451" i="2"/>
  <c r="I451" i="2"/>
  <c r="H451" i="2"/>
  <c r="G451" i="2"/>
  <c r="F451" i="2"/>
  <c r="K450" i="2"/>
  <c r="J450" i="2"/>
  <c r="H450" i="2"/>
  <c r="I450" i="2" s="1"/>
  <c r="G450" i="2"/>
  <c r="F450" i="2"/>
  <c r="E450" i="2"/>
  <c r="K449" i="2"/>
  <c r="J449" i="2"/>
  <c r="H449" i="2"/>
  <c r="G449" i="2"/>
  <c r="I449" i="2" s="1"/>
  <c r="E449" i="2"/>
  <c r="K448" i="2"/>
  <c r="J448" i="2"/>
  <c r="H448" i="2"/>
  <c r="G448" i="2"/>
  <c r="I448" i="2" s="1"/>
  <c r="F448" i="2"/>
  <c r="K447" i="2"/>
  <c r="J447" i="2"/>
  <c r="H447" i="2"/>
  <c r="F447" i="2"/>
  <c r="E447" i="2"/>
  <c r="G447" i="2" s="1"/>
  <c r="I447" i="2" s="1"/>
  <c r="K446" i="2"/>
  <c r="J446" i="2"/>
  <c r="H446" i="2"/>
  <c r="I446" i="2" s="1"/>
  <c r="G446" i="2"/>
  <c r="E446" i="2"/>
  <c r="K445" i="2"/>
  <c r="J445" i="2"/>
  <c r="H445" i="2"/>
  <c r="F445" i="2"/>
  <c r="G445" i="2" s="1"/>
  <c r="K444" i="2"/>
  <c r="J444" i="2"/>
  <c r="H444" i="2"/>
  <c r="F444" i="2"/>
  <c r="G444" i="2" s="1"/>
  <c r="K443" i="2"/>
  <c r="J443" i="2"/>
  <c r="H443" i="2"/>
  <c r="E443" i="2"/>
  <c r="G443" i="2" s="1"/>
  <c r="I443" i="2" s="1"/>
  <c r="K442" i="2"/>
  <c r="J442" i="2"/>
  <c r="H442" i="2"/>
  <c r="I442" i="2" s="1"/>
  <c r="G442" i="2"/>
  <c r="F442" i="2"/>
  <c r="E442" i="2"/>
  <c r="K441" i="2"/>
  <c r="J441" i="2"/>
  <c r="I441" i="2"/>
  <c r="H441" i="2"/>
  <c r="G441" i="2"/>
  <c r="E441" i="2"/>
  <c r="K440" i="2"/>
  <c r="J440" i="2"/>
  <c r="H440" i="2"/>
  <c r="G440" i="2"/>
  <c r="I440" i="2" s="1"/>
  <c r="E440" i="2"/>
  <c r="K439" i="2"/>
  <c r="J439" i="2"/>
  <c r="H439" i="2"/>
  <c r="G439" i="2"/>
  <c r="I439" i="2" s="1"/>
  <c r="E439" i="2"/>
  <c r="K438" i="2"/>
  <c r="J438" i="2"/>
  <c r="I438" i="2"/>
  <c r="H438" i="2"/>
  <c r="G438" i="2"/>
  <c r="F438" i="2"/>
  <c r="K437" i="2"/>
  <c r="J437" i="2"/>
  <c r="I437" i="2"/>
  <c r="H437" i="2"/>
  <c r="G437" i="2"/>
  <c r="F437" i="2"/>
  <c r="E437" i="2"/>
  <c r="K436" i="2"/>
  <c r="J436" i="2"/>
  <c r="H436" i="2"/>
  <c r="I436" i="2" s="1"/>
  <c r="G436" i="2"/>
  <c r="F436" i="2"/>
  <c r="E436" i="2"/>
  <c r="K435" i="2"/>
  <c r="J435" i="2"/>
  <c r="H435" i="2"/>
  <c r="I435" i="2" s="1"/>
  <c r="G435" i="2"/>
  <c r="F435" i="2"/>
  <c r="E435" i="2"/>
  <c r="K434" i="2"/>
  <c r="J434" i="2"/>
  <c r="H434" i="2"/>
  <c r="I434" i="2" s="1"/>
  <c r="F434" i="2"/>
  <c r="G434" i="2" s="1"/>
  <c r="K433" i="2"/>
  <c r="J433" i="2"/>
  <c r="H433" i="2"/>
  <c r="F433" i="2"/>
  <c r="G433" i="2" s="1"/>
  <c r="I433" i="2" s="1"/>
  <c r="K432" i="2"/>
  <c r="J432" i="2"/>
  <c r="H432" i="2"/>
  <c r="I432" i="2" s="1"/>
  <c r="G432" i="2"/>
  <c r="F432" i="2"/>
  <c r="E432" i="2"/>
  <c r="K431" i="2"/>
  <c r="J431" i="2"/>
  <c r="I431" i="2"/>
  <c r="H431" i="2"/>
  <c r="G431" i="2"/>
  <c r="F431" i="2"/>
  <c r="K430" i="2"/>
  <c r="J430" i="2"/>
  <c r="H430" i="2"/>
  <c r="I430" i="2" s="1"/>
  <c r="G430" i="2"/>
  <c r="F430" i="2"/>
  <c r="K429" i="2"/>
  <c r="J429" i="2"/>
  <c r="H429" i="2"/>
  <c r="F429" i="2"/>
  <c r="E429" i="2"/>
  <c r="G429" i="2" s="1"/>
  <c r="I429" i="2" s="1"/>
  <c r="K428" i="2"/>
  <c r="J428" i="2"/>
  <c r="H428" i="2"/>
  <c r="I428" i="2" s="1"/>
  <c r="F428" i="2"/>
  <c r="G428" i="2" s="1"/>
  <c r="K427" i="2"/>
  <c r="J427" i="2"/>
  <c r="H427" i="2"/>
  <c r="I427" i="2" s="1"/>
  <c r="F427" i="2"/>
  <c r="G427" i="2" s="1"/>
  <c r="K426" i="2"/>
  <c r="J426" i="2"/>
  <c r="H426" i="2"/>
  <c r="I426" i="2" s="1"/>
  <c r="E426" i="2"/>
  <c r="G426" i="2" s="1"/>
  <c r="K425" i="2"/>
  <c r="J425" i="2"/>
  <c r="H425" i="2"/>
  <c r="I425" i="2" s="1"/>
  <c r="F425" i="2"/>
  <c r="G425" i="2" s="1"/>
  <c r="K424" i="2"/>
  <c r="J424" i="2"/>
  <c r="H424" i="2"/>
  <c r="F424" i="2"/>
  <c r="E424" i="2"/>
  <c r="G424" i="2" s="1"/>
  <c r="K423" i="2"/>
  <c r="J423" i="2"/>
  <c r="I423" i="2"/>
  <c r="H423" i="2"/>
  <c r="G423" i="2"/>
  <c r="F423" i="2"/>
  <c r="K422" i="2"/>
  <c r="J422" i="2"/>
  <c r="I422" i="2"/>
  <c r="H422" i="2"/>
  <c r="G422" i="2"/>
  <c r="E422" i="2"/>
  <c r="K421" i="2"/>
  <c r="J421" i="2"/>
  <c r="H421" i="2"/>
  <c r="I421" i="2" s="1"/>
  <c r="G421" i="2"/>
  <c r="F421" i="2"/>
  <c r="K420" i="2"/>
  <c r="J420" i="2"/>
  <c r="H420" i="2"/>
  <c r="E420" i="2"/>
  <c r="G420" i="2" s="1"/>
  <c r="I420" i="2" s="1"/>
  <c r="K419" i="2"/>
  <c r="J419" i="2"/>
  <c r="H419" i="2"/>
  <c r="F419" i="2"/>
  <c r="E419" i="2"/>
  <c r="G419" i="2" s="1"/>
  <c r="I419" i="2" s="1"/>
  <c r="K418" i="2"/>
  <c r="J418" i="2"/>
  <c r="H418" i="2"/>
  <c r="I418" i="2" s="1"/>
  <c r="G418" i="2"/>
  <c r="F418" i="2"/>
  <c r="K417" i="2"/>
  <c r="J417" i="2"/>
  <c r="H417" i="2"/>
  <c r="I417" i="2" s="1"/>
  <c r="F417" i="2"/>
  <c r="G417" i="2" s="1"/>
  <c r="E417" i="2"/>
  <c r="K416" i="2"/>
  <c r="J416" i="2"/>
  <c r="H416" i="2"/>
  <c r="I416" i="2" s="1"/>
  <c r="G416" i="2"/>
  <c r="F416" i="2"/>
  <c r="K415" i="2"/>
  <c r="J415" i="2"/>
  <c r="H415" i="2"/>
  <c r="F415" i="2"/>
  <c r="G415" i="2" s="1"/>
  <c r="I415" i="2" s="1"/>
  <c r="K414" i="2"/>
  <c r="J414" i="2"/>
  <c r="I414" i="2"/>
  <c r="H414" i="2"/>
  <c r="G414" i="2"/>
  <c r="F414" i="2"/>
  <c r="K413" i="2"/>
  <c r="J413" i="2"/>
  <c r="H413" i="2"/>
  <c r="I413" i="2" s="1"/>
  <c r="G413" i="2"/>
  <c r="E413" i="2"/>
  <c r="K412" i="2"/>
  <c r="J412" i="2"/>
  <c r="H412" i="2"/>
  <c r="E412" i="2"/>
  <c r="G412" i="2" s="1"/>
  <c r="K411" i="2"/>
  <c r="J411" i="2"/>
  <c r="H411" i="2"/>
  <c r="F411" i="2"/>
  <c r="E411" i="2"/>
  <c r="K410" i="2"/>
  <c r="J410" i="2"/>
  <c r="H410" i="2"/>
  <c r="F410" i="2"/>
  <c r="G410" i="2" s="1"/>
  <c r="I410" i="2" s="1"/>
  <c r="K409" i="2"/>
  <c r="J409" i="2"/>
  <c r="H409" i="2"/>
  <c r="I409" i="2" s="1"/>
  <c r="G409" i="2"/>
  <c r="F409" i="2"/>
  <c r="K408" i="2"/>
  <c r="J408" i="2"/>
  <c r="I408" i="2"/>
  <c r="H408" i="2"/>
  <c r="E408" i="2"/>
  <c r="G408" i="2" s="1"/>
  <c r="K407" i="2"/>
  <c r="J407" i="2"/>
  <c r="H407" i="2"/>
  <c r="I407" i="2" s="1"/>
  <c r="G407" i="2"/>
  <c r="F407" i="2"/>
  <c r="E407" i="2"/>
  <c r="K406" i="2"/>
  <c r="J406" i="2"/>
  <c r="H406" i="2"/>
  <c r="I406" i="2" s="1"/>
  <c r="E406" i="2"/>
  <c r="G406" i="2" s="1"/>
  <c r="K405" i="2"/>
  <c r="J405" i="2"/>
  <c r="H405" i="2"/>
  <c r="E405" i="2"/>
  <c r="G405" i="2" s="1"/>
  <c r="I405" i="2" s="1"/>
  <c r="K404" i="2"/>
  <c r="J404" i="2"/>
  <c r="H404" i="2"/>
  <c r="I404" i="2" s="1"/>
  <c r="G404" i="2"/>
  <c r="E404" i="2"/>
  <c r="K403" i="2"/>
  <c r="J403" i="2"/>
  <c r="H403" i="2"/>
  <c r="I403" i="2" s="1"/>
  <c r="F403" i="2"/>
  <c r="G403" i="2" s="1"/>
  <c r="K402" i="2"/>
  <c r="J402" i="2"/>
  <c r="H402" i="2"/>
  <c r="F402" i="2"/>
  <c r="G402" i="2" s="1"/>
  <c r="K401" i="2"/>
  <c r="J401" i="2"/>
  <c r="H401" i="2"/>
  <c r="F401" i="2"/>
  <c r="E401" i="2"/>
  <c r="G401" i="2" s="1"/>
  <c r="I401" i="2" s="1"/>
  <c r="K400" i="2"/>
  <c r="J400" i="2"/>
  <c r="H400" i="2"/>
  <c r="I400" i="2" s="1"/>
  <c r="G400" i="2"/>
  <c r="F400" i="2"/>
  <c r="K399" i="2"/>
  <c r="J399" i="2"/>
  <c r="H399" i="2"/>
  <c r="E399" i="2"/>
  <c r="G399" i="2" s="1"/>
  <c r="I399" i="2" s="1"/>
  <c r="K398" i="2"/>
  <c r="J398" i="2"/>
  <c r="H398" i="2"/>
  <c r="G398" i="2"/>
  <c r="F398" i="2"/>
  <c r="K397" i="2"/>
  <c r="J397" i="2"/>
  <c r="H397" i="2"/>
  <c r="F397" i="2"/>
  <c r="G397" i="2" s="1"/>
  <c r="K396" i="2"/>
  <c r="J396" i="2"/>
  <c r="H396" i="2"/>
  <c r="I396" i="2" s="1"/>
  <c r="E396" i="2"/>
  <c r="G396" i="2" s="1"/>
  <c r="K395" i="2"/>
  <c r="J395" i="2"/>
  <c r="I395" i="2"/>
  <c r="H395" i="2"/>
  <c r="F395" i="2"/>
  <c r="G395" i="2" s="1"/>
  <c r="E395" i="2"/>
  <c r="K394" i="2"/>
  <c r="J394" i="2"/>
  <c r="H394" i="2"/>
  <c r="G394" i="2"/>
  <c r="F394" i="2"/>
  <c r="K393" i="2"/>
  <c r="J393" i="2"/>
  <c r="H393" i="2"/>
  <c r="F393" i="2"/>
  <c r="G393" i="2" s="1"/>
  <c r="K392" i="2"/>
  <c r="J392" i="2"/>
  <c r="H392" i="2"/>
  <c r="F392" i="2"/>
  <c r="E392" i="2"/>
  <c r="G392" i="2" s="1"/>
  <c r="I392" i="2" s="1"/>
  <c r="K391" i="2"/>
  <c r="J391" i="2"/>
  <c r="H391" i="2"/>
  <c r="I391" i="2" s="1"/>
  <c r="F391" i="2"/>
  <c r="E391" i="2"/>
  <c r="G391" i="2" s="1"/>
  <c r="K390" i="2"/>
  <c r="J390" i="2"/>
  <c r="I390" i="2"/>
  <c r="H390" i="2"/>
  <c r="G390" i="2"/>
  <c r="F390" i="2"/>
  <c r="E390" i="2"/>
  <c r="K389" i="2"/>
  <c r="J389" i="2"/>
  <c r="H389" i="2"/>
  <c r="I389" i="2" s="1"/>
  <c r="F389" i="2"/>
  <c r="G389" i="2" s="1"/>
  <c r="K388" i="2"/>
  <c r="J388" i="2"/>
  <c r="H388" i="2"/>
  <c r="F388" i="2"/>
  <c r="G388" i="2" s="1"/>
  <c r="E388" i="2"/>
  <c r="K387" i="2"/>
  <c r="J387" i="2"/>
  <c r="H387" i="2"/>
  <c r="E387" i="2"/>
  <c r="G387" i="2" s="1"/>
  <c r="K386" i="2"/>
  <c r="J386" i="2"/>
  <c r="H386" i="2"/>
  <c r="E386" i="2"/>
  <c r="G386" i="2" s="1"/>
  <c r="I386" i="2" s="1"/>
  <c r="K385" i="2"/>
  <c r="J385" i="2"/>
  <c r="I385" i="2"/>
  <c r="H385" i="2"/>
  <c r="G385" i="2"/>
  <c r="F385" i="2"/>
  <c r="K384" i="2"/>
  <c r="J384" i="2"/>
  <c r="H384" i="2"/>
  <c r="I384" i="2" s="1"/>
  <c r="G384" i="2"/>
  <c r="F384" i="2"/>
  <c r="K383" i="2"/>
  <c r="J383" i="2"/>
  <c r="H383" i="2"/>
  <c r="E383" i="2"/>
  <c r="G383" i="2" s="1"/>
  <c r="K382" i="2"/>
  <c r="J382" i="2"/>
  <c r="H382" i="2"/>
  <c r="F382" i="2"/>
  <c r="E382" i="2"/>
  <c r="G382" i="2" s="1"/>
  <c r="I382" i="2" s="1"/>
  <c r="K381" i="2"/>
  <c r="J381" i="2"/>
  <c r="H381" i="2"/>
  <c r="I381" i="2" s="1"/>
  <c r="F381" i="2"/>
  <c r="G381" i="2" s="1"/>
  <c r="K380" i="2"/>
  <c r="J380" i="2"/>
  <c r="H380" i="2"/>
  <c r="I380" i="2" s="1"/>
  <c r="F380" i="2"/>
  <c r="G380" i="2" s="1"/>
  <c r="K379" i="2"/>
  <c r="J379" i="2"/>
  <c r="H379" i="2"/>
  <c r="G379" i="2"/>
  <c r="E379" i="2"/>
  <c r="K378" i="2"/>
  <c r="J378" i="2"/>
  <c r="H378" i="2"/>
  <c r="I378" i="2" s="1"/>
  <c r="F378" i="2"/>
  <c r="G378" i="2" s="1"/>
  <c r="K377" i="2"/>
  <c r="J377" i="2"/>
  <c r="H377" i="2"/>
  <c r="I377" i="2" s="1"/>
  <c r="F377" i="2"/>
  <c r="E377" i="2"/>
  <c r="G377" i="2" s="1"/>
  <c r="K376" i="2"/>
  <c r="J376" i="2"/>
  <c r="I376" i="2"/>
  <c r="H376" i="2"/>
  <c r="G376" i="2"/>
  <c r="F376" i="2"/>
  <c r="E376" i="2"/>
  <c r="K375" i="2"/>
  <c r="J375" i="2"/>
  <c r="H375" i="2"/>
  <c r="F375" i="2"/>
  <c r="G375" i="2" s="1"/>
  <c r="I375" i="2" s="1"/>
  <c r="E375" i="2"/>
  <c r="K374" i="2"/>
  <c r="J374" i="2"/>
  <c r="H374" i="2"/>
  <c r="G374" i="2"/>
  <c r="F374" i="2"/>
  <c r="E374" i="2"/>
  <c r="K373" i="2"/>
  <c r="J373" i="2"/>
  <c r="H373" i="2"/>
  <c r="F373" i="2"/>
  <c r="G373" i="2" s="1"/>
  <c r="K372" i="2"/>
  <c r="J372" i="2"/>
  <c r="H372" i="2"/>
  <c r="F372" i="2"/>
  <c r="G372" i="2" s="1"/>
  <c r="K371" i="2"/>
  <c r="J371" i="2"/>
  <c r="H371" i="2"/>
  <c r="F371" i="2"/>
  <c r="G371" i="2" s="1"/>
  <c r="K370" i="2"/>
  <c r="J370" i="2"/>
  <c r="H370" i="2"/>
  <c r="I370" i="2" s="1"/>
  <c r="E370" i="2"/>
  <c r="G370" i="2" s="1"/>
  <c r="K369" i="2"/>
  <c r="J369" i="2"/>
  <c r="H369" i="2"/>
  <c r="G369" i="2"/>
  <c r="E369" i="2"/>
  <c r="K368" i="2"/>
  <c r="J368" i="2"/>
  <c r="H368" i="2"/>
  <c r="E368" i="2"/>
  <c r="G368" i="2" s="1"/>
  <c r="K367" i="2"/>
  <c r="J367" i="2"/>
  <c r="H367" i="2"/>
  <c r="I367" i="2" s="1"/>
  <c r="E367" i="2"/>
  <c r="G367" i="2" s="1"/>
  <c r="K366" i="2"/>
  <c r="J366" i="2"/>
  <c r="H366" i="2"/>
  <c r="I366" i="2" s="1"/>
  <c r="F366" i="2"/>
  <c r="G366" i="2" s="1"/>
  <c r="E366" i="2"/>
  <c r="K365" i="2"/>
  <c r="J365" i="2"/>
  <c r="H365" i="2"/>
  <c r="G365" i="2"/>
  <c r="E365" i="2"/>
  <c r="K364" i="2"/>
  <c r="J364" i="2"/>
  <c r="H364" i="2"/>
  <c r="F364" i="2"/>
  <c r="G364" i="2" s="1"/>
  <c r="K363" i="2"/>
  <c r="J363" i="2"/>
  <c r="H363" i="2"/>
  <c r="F363" i="2"/>
  <c r="E363" i="2"/>
  <c r="G363" i="2" s="1"/>
  <c r="I363" i="2" s="1"/>
  <c r="K362" i="2"/>
  <c r="J362" i="2"/>
  <c r="H362" i="2"/>
  <c r="I362" i="2" s="1"/>
  <c r="F362" i="2"/>
  <c r="G362" i="2" s="1"/>
  <c r="K361" i="2"/>
  <c r="J361" i="2"/>
  <c r="H361" i="2"/>
  <c r="I361" i="2" s="1"/>
  <c r="F361" i="2"/>
  <c r="G361" i="2" s="1"/>
  <c r="K360" i="2"/>
  <c r="J360" i="2"/>
  <c r="H360" i="2"/>
  <c r="F360" i="2"/>
  <c r="G360" i="2" s="1"/>
  <c r="K359" i="2"/>
  <c r="J359" i="2"/>
  <c r="H359" i="2"/>
  <c r="F359" i="2"/>
  <c r="G359" i="2" s="1"/>
  <c r="K358" i="2"/>
  <c r="J358" i="2"/>
  <c r="H358" i="2"/>
  <c r="F358" i="2"/>
  <c r="G358" i="2" s="1"/>
  <c r="K357" i="2"/>
  <c r="J357" i="2"/>
  <c r="H357" i="2"/>
  <c r="I357" i="2" s="1"/>
  <c r="F357" i="2"/>
  <c r="G357" i="2" s="1"/>
  <c r="E357" i="2"/>
  <c r="K356" i="2"/>
  <c r="J356" i="2"/>
  <c r="H356" i="2"/>
  <c r="G356" i="2"/>
  <c r="F356" i="2"/>
  <c r="K355" i="2"/>
  <c r="J355" i="2"/>
  <c r="H355" i="2"/>
  <c r="I355" i="2" s="1"/>
  <c r="E355" i="2"/>
  <c r="G355" i="2" s="1"/>
  <c r="K354" i="2"/>
  <c r="J354" i="2"/>
  <c r="H354" i="2"/>
  <c r="F354" i="2"/>
  <c r="G354" i="2" s="1"/>
  <c r="I354" i="2" s="1"/>
  <c r="K353" i="2"/>
  <c r="J353" i="2"/>
  <c r="I353" i="2"/>
  <c r="H353" i="2"/>
  <c r="G353" i="2"/>
  <c r="F353" i="2"/>
  <c r="E353" i="2"/>
  <c r="K352" i="2"/>
  <c r="J352" i="2"/>
  <c r="I352" i="2"/>
  <c r="H352" i="2"/>
  <c r="F352" i="2"/>
  <c r="G352" i="2" s="1"/>
  <c r="K351" i="2"/>
  <c r="J351" i="2"/>
  <c r="H351" i="2"/>
  <c r="F351" i="2"/>
  <c r="G351" i="2" s="1"/>
  <c r="K350" i="2"/>
  <c r="J350" i="2"/>
  <c r="H350" i="2"/>
  <c r="E350" i="2"/>
  <c r="G350" i="2" s="1"/>
  <c r="K349" i="2"/>
  <c r="J349" i="2"/>
  <c r="H349" i="2"/>
  <c r="F349" i="2"/>
  <c r="G349" i="2" s="1"/>
  <c r="K348" i="2"/>
  <c r="J348" i="2"/>
  <c r="H348" i="2"/>
  <c r="I348" i="2" s="1"/>
  <c r="E348" i="2"/>
  <c r="G348" i="2" s="1"/>
  <c r="K347" i="2"/>
  <c r="J347" i="2"/>
  <c r="H347" i="2"/>
  <c r="G347" i="2"/>
  <c r="E347" i="2"/>
  <c r="K346" i="2"/>
  <c r="J346" i="2"/>
  <c r="H346" i="2"/>
  <c r="E346" i="2"/>
  <c r="G346" i="2" s="1"/>
  <c r="K345" i="2"/>
  <c r="J345" i="2"/>
  <c r="H345" i="2"/>
  <c r="I345" i="2" s="1"/>
  <c r="F345" i="2"/>
  <c r="E345" i="2"/>
  <c r="G345" i="2" s="1"/>
  <c r="K344" i="2"/>
  <c r="J344" i="2"/>
  <c r="I344" i="2"/>
  <c r="H344" i="2"/>
  <c r="G344" i="2"/>
  <c r="E344" i="2"/>
  <c r="K343" i="2"/>
  <c r="J343" i="2"/>
  <c r="H343" i="2"/>
  <c r="I343" i="2" s="1"/>
  <c r="G343" i="2"/>
  <c r="E343" i="2"/>
  <c r="K342" i="2"/>
  <c r="J342" i="2"/>
  <c r="H342" i="2"/>
  <c r="I342" i="2" s="1"/>
  <c r="E342" i="2"/>
  <c r="G342" i="2" s="1"/>
  <c r="K341" i="2"/>
  <c r="J341" i="2"/>
  <c r="H341" i="2"/>
  <c r="F341" i="2"/>
  <c r="G341" i="2" s="1"/>
  <c r="I341" i="2" s="1"/>
  <c r="K340" i="2"/>
  <c r="J340" i="2"/>
  <c r="I340" i="2"/>
  <c r="H340" i="2"/>
  <c r="G340" i="2"/>
  <c r="F340" i="2"/>
  <c r="K339" i="2"/>
  <c r="J339" i="2"/>
  <c r="H339" i="2"/>
  <c r="G339" i="2"/>
  <c r="E339" i="2"/>
  <c r="K338" i="2"/>
  <c r="J338" i="2"/>
  <c r="H338" i="2"/>
  <c r="I338" i="2" s="1"/>
  <c r="F338" i="2"/>
  <c r="G338" i="2" s="1"/>
  <c r="K337" i="2"/>
  <c r="J337" i="2"/>
  <c r="H337" i="2"/>
  <c r="F337" i="2"/>
  <c r="E337" i="2"/>
  <c r="G337" i="2" s="1"/>
  <c r="I337" i="2" s="1"/>
  <c r="K336" i="2"/>
  <c r="J336" i="2"/>
  <c r="H336" i="2"/>
  <c r="E336" i="2"/>
  <c r="G336" i="2" s="1"/>
  <c r="K335" i="2"/>
  <c r="J335" i="2"/>
  <c r="I335" i="2"/>
  <c r="H335" i="2"/>
  <c r="F335" i="2"/>
  <c r="G335" i="2" s="1"/>
  <c r="K334" i="2"/>
  <c r="J334" i="2"/>
  <c r="H334" i="2"/>
  <c r="E334" i="2"/>
  <c r="G334" i="2" s="1"/>
  <c r="K333" i="2"/>
  <c r="J333" i="2"/>
  <c r="H333" i="2"/>
  <c r="E333" i="2"/>
  <c r="G333" i="2" s="1"/>
  <c r="K332" i="2"/>
  <c r="J332" i="2"/>
  <c r="H332" i="2"/>
  <c r="F332" i="2"/>
  <c r="G332" i="2" s="1"/>
  <c r="K331" i="2"/>
  <c r="J331" i="2"/>
  <c r="H331" i="2"/>
  <c r="I331" i="2" s="1"/>
  <c r="E331" i="2"/>
  <c r="G331" i="2" s="1"/>
  <c r="K330" i="2"/>
  <c r="J330" i="2"/>
  <c r="H330" i="2"/>
  <c r="I330" i="2" s="1"/>
  <c r="G330" i="2"/>
  <c r="E330" i="2"/>
  <c r="K329" i="2"/>
  <c r="J329" i="2"/>
  <c r="H329" i="2"/>
  <c r="F329" i="2"/>
  <c r="G329" i="2" s="1"/>
  <c r="K328" i="2"/>
  <c r="J328" i="2"/>
  <c r="H328" i="2"/>
  <c r="I328" i="2" s="1"/>
  <c r="F328" i="2"/>
  <c r="E328" i="2"/>
  <c r="G328" i="2" s="1"/>
  <c r="K327" i="2"/>
  <c r="J327" i="2"/>
  <c r="I327" i="2"/>
  <c r="H327" i="2"/>
  <c r="G327" i="2"/>
  <c r="F327" i="2"/>
  <c r="E327" i="2"/>
  <c r="K326" i="2"/>
  <c r="J326" i="2"/>
  <c r="H326" i="2"/>
  <c r="I326" i="2" s="1"/>
  <c r="F326" i="2"/>
  <c r="G326" i="2" s="1"/>
  <c r="E326" i="2"/>
  <c r="K325" i="2"/>
  <c r="J325" i="2"/>
  <c r="H325" i="2"/>
  <c r="G325" i="2"/>
  <c r="F325" i="2"/>
  <c r="E325" i="2"/>
  <c r="K324" i="2"/>
  <c r="J324" i="2"/>
  <c r="H324" i="2"/>
  <c r="I324" i="2" s="1"/>
  <c r="G324" i="2"/>
  <c r="F324" i="2"/>
  <c r="K323" i="2"/>
  <c r="J323" i="2"/>
  <c r="H323" i="2"/>
  <c r="F323" i="2"/>
  <c r="E323" i="2"/>
  <c r="G323" i="2" s="1"/>
  <c r="K322" i="2"/>
  <c r="J322" i="2"/>
  <c r="H322" i="2"/>
  <c r="F322" i="2"/>
  <c r="G322" i="2" s="1"/>
  <c r="I322" i="2" s="1"/>
  <c r="K321" i="2"/>
  <c r="J321" i="2"/>
  <c r="I321" i="2"/>
  <c r="H321" i="2"/>
  <c r="G321" i="2"/>
  <c r="F321" i="2"/>
  <c r="K320" i="2"/>
  <c r="J320" i="2"/>
  <c r="H320" i="2"/>
  <c r="G320" i="2"/>
  <c r="F320" i="2"/>
  <c r="K319" i="2"/>
  <c r="J319" i="2"/>
  <c r="H319" i="2"/>
  <c r="F319" i="2"/>
  <c r="E319" i="2"/>
  <c r="G319" i="2" s="1"/>
  <c r="K318" i="2"/>
  <c r="J318" i="2"/>
  <c r="H318" i="2"/>
  <c r="F318" i="2"/>
  <c r="E318" i="2"/>
  <c r="G318" i="2" s="1"/>
  <c r="K317" i="2"/>
  <c r="J317" i="2"/>
  <c r="H317" i="2"/>
  <c r="F317" i="2"/>
  <c r="G317" i="2" s="1"/>
  <c r="I317" i="2" s="1"/>
  <c r="K316" i="2"/>
  <c r="J316" i="2"/>
  <c r="I316" i="2"/>
  <c r="H316" i="2"/>
  <c r="G316" i="2"/>
  <c r="E316" i="2"/>
  <c r="K315" i="2"/>
  <c r="J315" i="2"/>
  <c r="H315" i="2"/>
  <c r="I315" i="2" s="1"/>
  <c r="G315" i="2"/>
  <c r="F315" i="2"/>
  <c r="K314" i="2"/>
  <c r="J314" i="2"/>
  <c r="H314" i="2"/>
  <c r="E314" i="2"/>
  <c r="G314" i="2" s="1"/>
  <c r="K313" i="2"/>
  <c r="J313" i="2"/>
  <c r="H313" i="2"/>
  <c r="F313" i="2"/>
  <c r="E313" i="2"/>
  <c r="G313" i="2" s="1"/>
  <c r="I313" i="2" s="1"/>
  <c r="K312" i="2"/>
  <c r="J312" i="2"/>
  <c r="H312" i="2"/>
  <c r="I312" i="2" s="1"/>
  <c r="E312" i="2"/>
  <c r="G312" i="2" s="1"/>
  <c r="K311" i="2"/>
  <c r="J311" i="2"/>
  <c r="H311" i="2"/>
  <c r="I311" i="2" s="1"/>
  <c r="E311" i="2"/>
  <c r="G311" i="2" s="1"/>
  <c r="K310" i="2"/>
  <c r="J310" i="2"/>
  <c r="H310" i="2"/>
  <c r="G310" i="2"/>
  <c r="F310" i="2"/>
  <c r="E310" i="2"/>
  <c r="K309" i="2"/>
  <c r="J309" i="2"/>
  <c r="H309" i="2"/>
  <c r="F309" i="2"/>
  <c r="E309" i="2"/>
  <c r="K308" i="2"/>
  <c r="J308" i="2"/>
  <c r="H308" i="2"/>
  <c r="F308" i="2"/>
  <c r="G308" i="2" s="1"/>
  <c r="K307" i="2"/>
  <c r="J307" i="2"/>
  <c r="H307" i="2"/>
  <c r="I307" i="2" s="1"/>
  <c r="F307" i="2"/>
  <c r="G307" i="2" s="1"/>
  <c r="K306" i="2"/>
  <c r="J306" i="2"/>
  <c r="H306" i="2"/>
  <c r="I306" i="2" s="1"/>
  <c r="F306" i="2"/>
  <c r="G306" i="2" s="1"/>
  <c r="E306" i="2"/>
  <c r="K305" i="2"/>
  <c r="J305" i="2"/>
  <c r="H305" i="2"/>
  <c r="I305" i="2" s="1"/>
  <c r="G305" i="2"/>
  <c r="F305" i="2"/>
  <c r="K304" i="2"/>
  <c r="J304" i="2"/>
  <c r="H304" i="2"/>
  <c r="F304" i="2"/>
  <c r="E304" i="2"/>
  <c r="K303" i="2"/>
  <c r="J303" i="2"/>
  <c r="H303" i="2"/>
  <c r="I303" i="2" s="1"/>
  <c r="F303" i="2"/>
  <c r="E303" i="2"/>
  <c r="G303" i="2" s="1"/>
  <c r="K302" i="2"/>
  <c r="J302" i="2"/>
  <c r="H302" i="2"/>
  <c r="E302" i="2"/>
  <c r="G302" i="2" s="1"/>
  <c r="I302" i="2" s="1"/>
  <c r="K301" i="2"/>
  <c r="J301" i="2"/>
  <c r="I301" i="2"/>
  <c r="H301" i="2"/>
  <c r="G301" i="2"/>
  <c r="F301" i="2"/>
  <c r="K300" i="2"/>
  <c r="J300" i="2"/>
  <c r="H300" i="2"/>
  <c r="G300" i="2"/>
  <c r="E300" i="2"/>
  <c r="K299" i="2"/>
  <c r="J299" i="2"/>
  <c r="H299" i="2"/>
  <c r="F299" i="2"/>
  <c r="E299" i="2"/>
  <c r="K298" i="2"/>
  <c r="J298" i="2"/>
  <c r="H298" i="2"/>
  <c r="I298" i="2" s="1"/>
  <c r="F298" i="2"/>
  <c r="G298" i="2" s="1"/>
  <c r="K297" i="2"/>
  <c r="J297" i="2"/>
  <c r="H297" i="2"/>
  <c r="I297" i="2" s="1"/>
  <c r="E297" i="2"/>
  <c r="G297" i="2" s="1"/>
  <c r="K296" i="2"/>
  <c r="J296" i="2"/>
  <c r="I296" i="2"/>
  <c r="H296" i="2"/>
  <c r="F296" i="2"/>
  <c r="G296" i="2" s="1"/>
  <c r="K295" i="2"/>
  <c r="J295" i="2"/>
  <c r="H295" i="2"/>
  <c r="F295" i="2"/>
  <c r="G295" i="2" s="1"/>
  <c r="E295" i="2"/>
  <c r="K294" i="2"/>
  <c r="J294" i="2"/>
  <c r="H294" i="2"/>
  <c r="I294" i="2" s="1"/>
  <c r="E294" i="2"/>
  <c r="G294" i="2" s="1"/>
  <c r="K293" i="2"/>
  <c r="J293" i="2"/>
  <c r="I293" i="2"/>
  <c r="H293" i="2"/>
  <c r="F293" i="2"/>
  <c r="E293" i="2"/>
  <c r="G293" i="2" s="1"/>
  <c r="K292" i="2"/>
  <c r="J292" i="2"/>
  <c r="H292" i="2"/>
  <c r="F292" i="2"/>
  <c r="E292" i="2"/>
  <c r="G292" i="2" s="1"/>
  <c r="K291" i="2"/>
  <c r="J291" i="2"/>
  <c r="H291" i="2"/>
  <c r="G291" i="2"/>
  <c r="I291" i="2" s="1"/>
  <c r="F291" i="2"/>
  <c r="K290" i="2"/>
  <c r="J290" i="2"/>
  <c r="H290" i="2"/>
  <c r="I290" i="2" s="1"/>
  <c r="G290" i="2"/>
  <c r="F290" i="2"/>
  <c r="K289" i="2"/>
  <c r="J289" i="2"/>
  <c r="H289" i="2"/>
  <c r="I289" i="2" s="1"/>
  <c r="F289" i="2"/>
  <c r="G289" i="2" s="1"/>
  <c r="K288" i="2"/>
  <c r="J288" i="2"/>
  <c r="I288" i="2"/>
  <c r="H288" i="2"/>
  <c r="F288" i="2"/>
  <c r="E288" i="2"/>
  <c r="G288" i="2" s="1"/>
  <c r="K287" i="2"/>
  <c r="J287" i="2"/>
  <c r="H287" i="2"/>
  <c r="I287" i="2" s="1"/>
  <c r="F287" i="2"/>
  <c r="G287" i="2" s="1"/>
  <c r="K286" i="2"/>
  <c r="J286" i="2"/>
  <c r="I286" i="2"/>
  <c r="H286" i="2"/>
  <c r="F286" i="2"/>
  <c r="G286" i="2" s="1"/>
  <c r="E286" i="2"/>
  <c r="K285" i="2"/>
  <c r="J285" i="2"/>
  <c r="H285" i="2"/>
  <c r="G285" i="2"/>
  <c r="I285" i="2" s="1"/>
  <c r="F285" i="2"/>
  <c r="K284" i="2"/>
  <c r="J284" i="2"/>
  <c r="H284" i="2"/>
  <c r="I284" i="2" s="1"/>
  <c r="G284" i="2"/>
  <c r="F284" i="2"/>
  <c r="K283" i="2"/>
  <c r="J283" i="2"/>
  <c r="I283" i="2"/>
  <c r="H283" i="2"/>
  <c r="F283" i="2"/>
  <c r="G283" i="2" s="1"/>
  <c r="K282" i="2"/>
  <c r="J282" i="2"/>
  <c r="H282" i="2"/>
  <c r="G282" i="2"/>
  <c r="I282" i="2" s="1"/>
  <c r="F282" i="2"/>
  <c r="E282" i="2"/>
  <c r="K281" i="2"/>
  <c r="J281" i="2"/>
  <c r="I281" i="2"/>
  <c r="H281" i="2"/>
  <c r="F281" i="2"/>
  <c r="G281" i="2" s="1"/>
  <c r="K280" i="2"/>
  <c r="J280" i="2"/>
  <c r="H280" i="2"/>
  <c r="F280" i="2"/>
  <c r="G280" i="2" s="1"/>
  <c r="E280" i="2"/>
  <c r="K279" i="2"/>
  <c r="J279" i="2"/>
  <c r="H279" i="2"/>
  <c r="F279" i="2"/>
  <c r="G279" i="2" s="1"/>
  <c r="E279" i="2"/>
  <c r="K278" i="2"/>
  <c r="J278" i="2"/>
  <c r="H278" i="2"/>
  <c r="F278" i="2"/>
  <c r="G278" i="2" s="1"/>
  <c r="K277" i="2"/>
  <c r="J277" i="2"/>
  <c r="H277" i="2"/>
  <c r="F277" i="2"/>
  <c r="E277" i="2"/>
  <c r="G277" i="2" s="1"/>
  <c r="K276" i="2"/>
  <c r="J276" i="2"/>
  <c r="I276" i="2"/>
  <c r="H276" i="2"/>
  <c r="G276" i="2"/>
  <c r="F276" i="2"/>
  <c r="E276" i="2"/>
  <c r="K275" i="2"/>
  <c r="J275" i="2"/>
  <c r="H275" i="2"/>
  <c r="I275" i="2" s="1"/>
  <c r="F275" i="2"/>
  <c r="G275" i="2" s="1"/>
  <c r="K274" i="2"/>
  <c r="J274" i="2"/>
  <c r="H274" i="2"/>
  <c r="F274" i="2"/>
  <c r="G274" i="2" s="1"/>
  <c r="K273" i="2"/>
  <c r="J273" i="2"/>
  <c r="H273" i="2"/>
  <c r="I273" i="2" s="1"/>
  <c r="F273" i="2"/>
  <c r="E273" i="2"/>
  <c r="G273" i="2" s="1"/>
  <c r="K272" i="2"/>
  <c r="J272" i="2"/>
  <c r="I272" i="2"/>
  <c r="H272" i="2"/>
  <c r="F272" i="2"/>
  <c r="G272" i="2" s="1"/>
  <c r="K271" i="2"/>
  <c r="J271" i="2"/>
  <c r="I271" i="2"/>
  <c r="H271" i="2"/>
  <c r="G271" i="2"/>
  <c r="F271" i="2"/>
  <c r="E271" i="2"/>
  <c r="K270" i="2"/>
  <c r="J270" i="2"/>
  <c r="H270" i="2"/>
  <c r="I270" i="2" s="1"/>
  <c r="E270" i="2"/>
  <c r="G270" i="2" s="1"/>
  <c r="K269" i="2"/>
  <c r="J269" i="2"/>
  <c r="H269" i="2"/>
  <c r="F269" i="2"/>
  <c r="G269" i="2" s="1"/>
  <c r="K268" i="2"/>
  <c r="J268" i="2"/>
  <c r="H268" i="2"/>
  <c r="E268" i="2"/>
  <c r="G268" i="2" s="1"/>
  <c r="K267" i="2"/>
  <c r="J267" i="2"/>
  <c r="H267" i="2"/>
  <c r="E267" i="2"/>
  <c r="G267" i="2" s="1"/>
  <c r="K266" i="2"/>
  <c r="J266" i="2"/>
  <c r="H266" i="2"/>
  <c r="I266" i="2" s="1"/>
  <c r="E266" i="2"/>
  <c r="G266" i="2" s="1"/>
  <c r="K265" i="2"/>
  <c r="J265" i="2"/>
  <c r="H265" i="2"/>
  <c r="F265" i="2"/>
  <c r="G265" i="2" s="1"/>
  <c r="E265" i="2"/>
  <c r="K264" i="2"/>
  <c r="J264" i="2"/>
  <c r="H264" i="2"/>
  <c r="E264" i="2"/>
  <c r="G264" i="2" s="1"/>
  <c r="K263" i="2"/>
  <c r="J263" i="2"/>
  <c r="H263" i="2"/>
  <c r="F263" i="2"/>
  <c r="E263" i="2"/>
  <c r="G263" i="2" s="1"/>
  <c r="I263" i="2" s="1"/>
  <c r="K262" i="2"/>
  <c r="J262" i="2"/>
  <c r="H262" i="2"/>
  <c r="I262" i="2" s="1"/>
  <c r="F262" i="2"/>
  <c r="E262" i="2"/>
  <c r="G262" i="2" s="1"/>
  <c r="K261" i="2"/>
  <c r="J261" i="2"/>
  <c r="H261" i="2"/>
  <c r="G261" i="2"/>
  <c r="I261" i="2" s="1"/>
  <c r="F261" i="2"/>
  <c r="E261" i="2"/>
  <c r="K260" i="2"/>
  <c r="J260" i="2"/>
  <c r="I260" i="2"/>
  <c r="H260" i="2"/>
  <c r="F260" i="2"/>
  <c r="G260" i="2" s="1"/>
  <c r="K259" i="2"/>
  <c r="J259" i="2"/>
  <c r="H259" i="2"/>
  <c r="F259" i="2"/>
  <c r="G259" i="2" s="1"/>
  <c r="K258" i="2"/>
  <c r="J258" i="2"/>
  <c r="H258" i="2"/>
  <c r="F258" i="2"/>
  <c r="G258" i="2" s="1"/>
  <c r="K257" i="2"/>
  <c r="J257" i="2"/>
  <c r="H257" i="2"/>
  <c r="F257" i="2"/>
  <c r="G257" i="2" s="1"/>
  <c r="K256" i="2"/>
  <c r="J256" i="2"/>
  <c r="H256" i="2"/>
  <c r="I256" i="2" s="1"/>
  <c r="F256" i="2"/>
  <c r="G256" i="2" s="1"/>
  <c r="K255" i="2"/>
  <c r="J255" i="2"/>
  <c r="H255" i="2"/>
  <c r="F255" i="2"/>
  <c r="G255" i="2" s="1"/>
  <c r="K254" i="2"/>
  <c r="J254" i="2"/>
  <c r="H254" i="2"/>
  <c r="F254" i="2"/>
  <c r="G254" i="2" s="1"/>
  <c r="K253" i="2"/>
  <c r="J253" i="2"/>
  <c r="H253" i="2"/>
  <c r="I253" i="2" s="1"/>
  <c r="F253" i="2"/>
  <c r="E253" i="2"/>
  <c r="G253" i="2" s="1"/>
  <c r="K252" i="2"/>
  <c r="J252" i="2"/>
  <c r="I252" i="2"/>
  <c r="H252" i="2"/>
  <c r="G252" i="2"/>
  <c r="F252" i="2"/>
  <c r="K251" i="2"/>
  <c r="J251" i="2"/>
  <c r="I251" i="2"/>
  <c r="H251" i="2"/>
  <c r="G251" i="2"/>
  <c r="F251" i="2"/>
  <c r="K250" i="2"/>
  <c r="J250" i="2"/>
  <c r="H250" i="2"/>
  <c r="E250" i="2"/>
  <c r="G250" i="2" s="1"/>
  <c r="K249" i="2"/>
  <c r="J249" i="2"/>
  <c r="H249" i="2"/>
  <c r="F249" i="2"/>
  <c r="G249" i="2" s="1"/>
  <c r="I249" i="2" s="1"/>
  <c r="K248" i="2"/>
  <c r="J248" i="2"/>
  <c r="I248" i="2"/>
  <c r="H248" i="2"/>
  <c r="G248" i="2"/>
  <c r="F248" i="2"/>
  <c r="K247" i="2"/>
  <c r="J247" i="2"/>
  <c r="H247" i="2"/>
  <c r="G247" i="2"/>
  <c r="I247" i="2" s="1"/>
  <c r="F247" i="2"/>
  <c r="K246" i="2"/>
  <c r="J246" i="2"/>
  <c r="H246" i="2"/>
  <c r="F246" i="2"/>
  <c r="G246" i="2" s="1"/>
  <c r="K245" i="2"/>
  <c r="J245" i="2"/>
  <c r="I245" i="2"/>
  <c r="H245" i="2"/>
  <c r="F245" i="2"/>
  <c r="G245" i="2" s="1"/>
  <c r="K244" i="2"/>
  <c r="J244" i="2"/>
  <c r="H244" i="2"/>
  <c r="G244" i="2"/>
  <c r="I244" i="2" s="1"/>
  <c r="F244" i="2"/>
  <c r="E244" i="2"/>
  <c r="K243" i="2"/>
  <c r="J243" i="2"/>
  <c r="H243" i="2"/>
  <c r="I243" i="2" s="1"/>
  <c r="F243" i="2"/>
  <c r="G243" i="2" s="1"/>
  <c r="K242" i="2"/>
  <c r="J242" i="2"/>
  <c r="H242" i="2"/>
  <c r="G242" i="2"/>
  <c r="I242" i="2" s="1"/>
  <c r="F242" i="2"/>
  <c r="K241" i="2"/>
  <c r="J241" i="2"/>
  <c r="H241" i="2"/>
  <c r="E241" i="2"/>
  <c r="G241" i="2" s="1"/>
  <c r="K240" i="2"/>
  <c r="J240" i="2"/>
  <c r="H240" i="2"/>
  <c r="I240" i="2" s="1"/>
  <c r="F240" i="2"/>
  <c r="G240" i="2" s="1"/>
  <c r="K239" i="2"/>
  <c r="J239" i="2"/>
  <c r="H239" i="2"/>
  <c r="I239" i="2" s="1"/>
  <c r="F239" i="2"/>
  <c r="G239" i="2" s="1"/>
  <c r="E239" i="2"/>
  <c r="K238" i="2"/>
  <c r="J238" i="2"/>
  <c r="H238" i="2"/>
  <c r="I238" i="2" s="1"/>
  <c r="G238" i="2"/>
  <c r="F238" i="2"/>
  <c r="K237" i="2"/>
  <c r="J237" i="2"/>
  <c r="H237" i="2"/>
  <c r="F237" i="2"/>
  <c r="G237" i="2" s="1"/>
  <c r="K236" i="2"/>
  <c r="J236" i="2"/>
  <c r="H236" i="2"/>
  <c r="E236" i="2"/>
  <c r="G236" i="2" s="1"/>
  <c r="I236" i="2" s="1"/>
  <c r="K235" i="2"/>
  <c r="J235" i="2"/>
  <c r="I235" i="2"/>
  <c r="H235" i="2"/>
  <c r="G235" i="2"/>
  <c r="F235" i="2"/>
  <c r="E235" i="2"/>
  <c r="K234" i="2"/>
  <c r="J234" i="2"/>
  <c r="H234" i="2"/>
  <c r="I234" i="2" s="1"/>
  <c r="F234" i="2"/>
  <c r="G234" i="2" s="1"/>
  <c r="E234" i="2"/>
  <c r="K233" i="2"/>
  <c r="J233" i="2"/>
  <c r="I233" i="2"/>
  <c r="H233" i="2"/>
  <c r="G233" i="2"/>
  <c r="F233" i="2"/>
  <c r="K232" i="2"/>
  <c r="J232" i="2"/>
  <c r="H232" i="2"/>
  <c r="F232" i="2"/>
  <c r="E232" i="2"/>
  <c r="G232" i="2" s="1"/>
  <c r="K231" i="2"/>
  <c r="J231" i="2"/>
  <c r="H231" i="2"/>
  <c r="F231" i="2"/>
  <c r="E231" i="2"/>
  <c r="G231" i="2" s="1"/>
  <c r="K230" i="2"/>
  <c r="J230" i="2"/>
  <c r="H230" i="2"/>
  <c r="G230" i="2"/>
  <c r="I230" i="2" s="1"/>
  <c r="F230" i="2"/>
  <c r="K229" i="2"/>
  <c r="J229" i="2"/>
  <c r="H229" i="2"/>
  <c r="F229" i="2"/>
  <c r="E229" i="2"/>
  <c r="G229" i="2" s="1"/>
  <c r="I229" i="2" s="1"/>
  <c r="K228" i="2"/>
  <c r="J228" i="2"/>
  <c r="H228" i="2"/>
  <c r="I228" i="2" s="1"/>
  <c r="E228" i="2"/>
  <c r="G228" i="2" s="1"/>
  <c r="K227" i="2"/>
  <c r="J227" i="2"/>
  <c r="I227" i="2"/>
  <c r="H227" i="2"/>
  <c r="G227" i="2"/>
  <c r="F227" i="2"/>
  <c r="K226" i="2"/>
  <c r="J226" i="2"/>
  <c r="H226" i="2"/>
  <c r="F226" i="2"/>
  <c r="G226" i="2" s="1"/>
  <c r="K225" i="2"/>
  <c r="J225" i="2"/>
  <c r="H225" i="2"/>
  <c r="E225" i="2"/>
  <c r="G225" i="2" s="1"/>
  <c r="K224" i="2"/>
  <c r="J224" i="2"/>
  <c r="H224" i="2"/>
  <c r="I224" i="2" s="1"/>
  <c r="F224" i="2"/>
  <c r="G224" i="2" s="1"/>
  <c r="K223" i="2"/>
  <c r="J223" i="2"/>
  <c r="H223" i="2"/>
  <c r="E223" i="2"/>
  <c r="G223" i="2" s="1"/>
  <c r="I223" i="2" s="1"/>
  <c r="K222" i="2"/>
  <c r="J222" i="2"/>
  <c r="H222" i="2"/>
  <c r="F222" i="2"/>
  <c r="E222" i="2"/>
  <c r="G222" i="2" s="1"/>
  <c r="K221" i="2"/>
  <c r="J221" i="2"/>
  <c r="I221" i="2"/>
  <c r="H221" i="2"/>
  <c r="G221" i="2"/>
  <c r="F221" i="2"/>
  <c r="K220" i="2"/>
  <c r="J220" i="2"/>
  <c r="H220" i="2"/>
  <c r="G220" i="2"/>
  <c r="I220" i="2" s="1"/>
  <c r="E220" i="2"/>
  <c r="K219" i="2"/>
  <c r="J219" i="2"/>
  <c r="I219" i="2"/>
  <c r="H219" i="2"/>
  <c r="G219" i="2"/>
  <c r="E219" i="2"/>
  <c r="K218" i="2"/>
  <c r="J218" i="2"/>
  <c r="H218" i="2"/>
  <c r="G218" i="2"/>
  <c r="I218" i="2" s="1"/>
  <c r="F218" i="2"/>
  <c r="E218" i="2"/>
  <c r="K217" i="2"/>
  <c r="J217" i="2"/>
  <c r="H217" i="2"/>
  <c r="G217" i="2"/>
  <c r="E217" i="2"/>
  <c r="K216" i="2"/>
  <c r="J216" i="2"/>
  <c r="H216" i="2"/>
  <c r="I216" i="2" s="1"/>
  <c r="E216" i="2"/>
  <c r="G216" i="2" s="1"/>
  <c r="K215" i="2"/>
  <c r="J215" i="2"/>
  <c r="H215" i="2"/>
  <c r="I215" i="2" s="1"/>
  <c r="G215" i="2"/>
  <c r="E215" i="2"/>
  <c r="K214" i="2"/>
  <c r="J214" i="2"/>
  <c r="H214" i="2"/>
  <c r="I214" i="2" s="1"/>
  <c r="F214" i="2"/>
  <c r="G214" i="2" s="1"/>
  <c r="K213" i="2"/>
  <c r="J213" i="2"/>
  <c r="H213" i="2"/>
  <c r="G213" i="2"/>
  <c r="E213" i="2"/>
  <c r="K212" i="2"/>
  <c r="J212" i="2"/>
  <c r="I212" i="2"/>
  <c r="H212" i="2"/>
  <c r="F212" i="2"/>
  <c r="G212" i="2" s="1"/>
  <c r="K211" i="2"/>
  <c r="J211" i="2"/>
  <c r="H211" i="2"/>
  <c r="I211" i="2" s="1"/>
  <c r="F211" i="2"/>
  <c r="G211" i="2" s="1"/>
  <c r="K210" i="2"/>
  <c r="J210" i="2"/>
  <c r="H210" i="2"/>
  <c r="I210" i="2" s="1"/>
  <c r="F210" i="2"/>
  <c r="G210" i="2" s="1"/>
  <c r="K209" i="2"/>
  <c r="J209" i="2"/>
  <c r="H209" i="2"/>
  <c r="F209" i="2"/>
  <c r="E209" i="2"/>
  <c r="G209" i="2" s="1"/>
  <c r="K208" i="2"/>
  <c r="J208" i="2"/>
  <c r="H208" i="2"/>
  <c r="G208" i="2"/>
  <c r="I208" i="2" s="1"/>
  <c r="F208" i="2"/>
  <c r="K207" i="2"/>
  <c r="J207" i="2"/>
  <c r="H207" i="2"/>
  <c r="I207" i="2" s="1"/>
  <c r="F207" i="2"/>
  <c r="E207" i="2"/>
  <c r="G207" i="2" s="1"/>
  <c r="K206" i="2"/>
  <c r="J206" i="2"/>
  <c r="I206" i="2"/>
  <c r="H206" i="2"/>
  <c r="G206" i="2"/>
  <c r="F206" i="2"/>
  <c r="K205" i="2"/>
  <c r="J205" i="2"/>
  <c r="H205" i="2"/>
  <c r="I205" i="2" s="1"/>
  <c r="G205" i="2"/>
  <c r="F205" i="2"/>
  <c r="K204" i="2"/>
  <c r="J204" i="2"/>
  <c r="H204" i="2"/>
  <c r="I204" i="2" s="1"/>
  <c r="G204" i="2"/>
  <c r="E204" i="2"/>
  <c r="K203" i="2"/>
  <c r="J203" i="2"/>
  <c r="H203" i="2"/>
  <c r="I203" i="2" s="1"/>
  <c r="F203" i="2"/>
  <c r="G203" i="2" s="1"/>
  <c r="K202" i="2"/>
  <c r="J202" i="2"/>
  <c r="H202" i="2"/>
  <c r="G202" i="2"/>
  <c r="I202" i="2" s="1"/>
  <c r="F202" i="2"/>
  <c r="E202" i="2"/>
  <c r="K201" i="2"/>
  <c r="J201" i="2"/>
  <c r="H201" i="2"/>
  <c r="F201" i="2"/>
  <c r="G201" i="2" s="1"/>
  <c r="I201" i="2" s="1"/>
  <c r="K200" i="2"/>
  <c r="J200" i="2"/>
  <c r="H200" i="2"/>
  <c r="I200" i="2" s="1"/>
  <c r="G200" i="2"/>
  <c r="F200" i="2"/>
  <c r="E200" i="2"/>
  <c r="K199" i="2"/>
  <c r="J199" i="2"/>
  <c r="H199" i="2"/>
  <c r="F199" i="2"/>
  <c r="E199" i="2"/>
  <c r="G199" i="2" s="1"/>
  <c r="K198" i="2"/>
  <c r="J198" i="2"/>
  <c r="I198" i="2"/>
  <c r="H198" i="2"/>
  <c r="G198" i="2"/>
  <c r="F198" i="2"/>
  <c r="K197" i="2"/>
  <c r="J197" i="2"/>
  <c r="H197" i="2"/>
  <c r="G197" i="2"/>
  <c r="I197" i="2" s="1"/>
  <c r="F197" i="2"/>
  <c r="K196" i="2"/>
  <c r="J196" i="2"/>
  <c r="H196" i="2"/>
  <c r="F196" i="2"/>
  <c r="E196" i="2"/>
  <c r="G196" i="2" s="1"/>
  <c r="I196" i="2" s="1"/>
  <c r="K195" i="2"/>
  <c r="J195" i="2"/>
  <c r="H195" i="2"/>
  <c r="I195" i="2" s="1"/>
  <c r="G195" i="2"/>
  <c r="F195" i="2"/>
  <c r="K194" i="2"/>
  <c r="J194" i="2"/>
  <c r="H194" i="2"/>
  <c r="G194" i="2"/>
  <c r="F194" i="2"/>
  <c r="K193" i="2"/>
  <c r="J193" i="2"/>
  <c r="H193" i="2"/>
  <c r="I193" i="2" s="1"/>
  <c r="F193" i="2"/>
  <c r="G193" i="2" s="1"/>
  <c r="K192" i="2"/>
  <c r="J192" i="2"/>
  <c r="H192" i="2"/>
  <c r="I192" i="2" s="1"/>
  <c r="G192" i="2"/>
  <c r="E192" i="2"/>
  <c r="K191" i="2"/>
  <c r="J191" i="2"/>
  <c r="H191" i="2"/>
  <c r="F191" i="2"/>
  <c r="G191" i="2" s="1"/>
  <c r="K190" i="2"/>
  <c r="J190" i="2"/>
  <c r="H190" i="2"/>
  <c r="G190" i="2"/>
  <c r="F190" i="2"/>
  <c r="K189" i="2"/>
  <c r="J189" i="2"/>
  <c r="I189" i="2"/>
  <c r="H189" i="2"/>
  <c r="E189" i="2"/>
  <c r="G189" i="2" s="1"/>
  <c r="K188" i="2"/>
  <c r="J188" i="2"/>
  <c r="H188" i="2"/>
  <c r="F188" i="2"/>
  <c r="G188" i="2" s="1"/>
  <c r="K187" i="2"/>
  <c r="J187" i="2"/>
  <c r="H187" i="2"/>
  <c r="I187" i="2" s="1"/>
  <c r="F187" i="2"/>
  <c r="G187" i="2" s="1"/>
  <c r="K186" i="2"/>
  <c r="J186" i="2"/>
  <c r="H186" i="2"/>
  <c r="G186" i="2"/>
  <c r="F186" i="2"/>
  <c r="K185" i="2"/>
  <c r="J185" i="2"/>
  <c r="H185" i="2"/>
  <c r="F185" i="2"/>
  <c r="G185" i="2" s="1"/>
  <c r="I185" i="2" s="1"/>
  <c r="K184" i="2"/>
  <c r="J184" i="2"/>
  <c r="H184" i="2"/>
  <c r="I184" i="2" s="1"/>
  <c r="E184" i="2"/>
  <c r="G184" i="2" s="1"/>
  <c r="K183" i="2"/>
  <c r="J183" i="2"/>
  <c r="H183" i="2"/>
  <c r="E183" i="2"/>
  <c r="G183" i="2" s="1"/>
  <c r="K182" i="2"/>
  <c r="J182" i="2"/>
  <c r="H182" i="2"/>
  <c r="G182" i="2"/>
  <c r="F182" i="2"/>
  <c r="E182" i="2"/>
  <c r="K181" i="2"/>
  <c r="J181" i="2"/>
  <c r="H181" i="2"/>
  <c r="F181" i="2"/>
  <c r="E181" i="2"/>
  <c r="G181" i="2" s="1"/>
  <c r="I181" i="2" s="1"/>
  <c r="K180" i="2"/>
  <c r="J180" i="2"/>
  <c r="H180" i="2"/>
  <c r="F180" i="2"/>
  <c r="E180" i="2"/>
  <c r="K179" i="2"/>
  <c r="J179" i="2"/>
  <c r="H179" i="2"/>
  <c r="G179" i="2"/>
  <c r="I179" i="2" s="1"/>
  <c r="F179" i="2"/>
  <c r="K178" i="2"/>
  <c r="J178" i="2"/>
  <c r="I178" i="2"/>
  <c r="H178" i="2"/>
  <c r="G178" i="2"/>
  <c r="F178" i="2"/>
  <c r="K177" i="2"/>
  <c r="J177" i="2"/>
  <c r="H177" i="2"/>
  <c r="G177" i="2"/>
  <c r="I177" i="2" s="1"/>
  <c r="E177" i="2"/>
  <c r="K176" i="2"/>
  <c r="J176" i="2"/>
  <c r="I176" i="2"/>
  <c r="H176" i="2"/>
  <c r="G176" i="2"/>
  <c r="F176" i="2"/>
  <c r="K175" i="2"/>
  <c r="J175" i="2"/>
  <c r="H175" i="2"/>
  <c r="I175" i="2" s="1"/>
  <c r="G175" i="2"/>
  <c r="E175" i="2"/>
  <c r="K174" i="2"/>
  <c r="J174" i="2"/>
  <c r="H174" i="2"/>
  <c r="F174" i="2"/>
  <c r="G174" i="2" s="1"/>
  <c r="I174" i="2" s="1"/>
  <c r="K173" i="2"/>
  <c r="J173" i="2"/>
  <c r="H173" i="2"/>
  <c r="G173" i="2"/>
  <c r="I173" i="2" s="1"/>
  <c r="E173" i="2"/>
  <c r="K172" i="2"/>
  <c r="J172" i="2"/>
  <c r="I172" i="2"/>
  <c r="H172" i="2"/>
  <c r="G172" i="2"/>
  <c r="F172" i="2"/>
  <c r="K171" i="2"/>
  <c r="J171" i="2"/>
  <c r="H171" i="2"/>
  <c r="I171" i="2" s="1"/>
  <c r="G171" i="2"/>
  <c r="F171" i="2"/>
  <c r="E171" i="2"/>
  <c r="K170" i="2"/>
  <c r="J170" i="2"/>
  <c r="H170" i="2"/>
  <c r="F170" i="2"/>
  <c r="G170" i="2" s="1"/>
  <c r="I170" i="2" s="1"/>
  <c r="E170" i="2"/>
  <c r="K169" i="2"/>
  <c r="J169" i="2"/>
  <c r="H169" i="2"/>
  <c r="F169" i="2"/>
  <c r="E169" i="2"/>
  <c r="G169" i="2" s="1"/>
  <c r="I169" i="2" s="1"/>
  <c r="K168" i="2"/>
  <c r="J168" i="2"/>
  <c r="H168" i="2"/>
  <c r="I168" i="2" s="1"/>
  <c r="F168" i="2"/>
  <c r="E168" i="2"/>
  <c r="G168" i="2" s="1"/>
  <c r="K167" i="2"/>
  <c r="J167" i="2"/>
  <c r="H167" i="2"/>
  <c r="G167" i="2"/>
  <c r="I167" i="2" s="1"/>
  <c r="F167" i="2"/>
  <c r="E167" i="2"/>
  <c r="K166" i="2"/>
  <c r="J166" i="2"/>
  <c r="H166" i="2"/>
  <c r="F166" i="2"/>
  <c r="E166" i="2"/>
  <c r="G166" i="2" s="1"/>
  <c r="K165" i="2"/>
  <c r="J165" i="2"/>
  <c r="H165" i="2"/>
  <c r="F165" i="2"/>
  <c r="E165" i="2"/>
  <c r="G165" i="2" s="1"/>
  <c r="I165" i="2" s="1"/>
  <c r="K164" i="2"/>
  <c r="J164" i="2"/>
  <c r="H164" i="2"/>
  <c r="I164" i="2" s="1"/>
  <c r="F164" i="2"/>
  <c r="G164" i="2" s="1"/>
  <c r="K163" i="2"/>
  <c r="J163" i="2"/>
  <c r="H163" i="2"/>
  <c r="I163" i="2" s="1"/>
  <c r="G163" i="2"/>
  <c r="F163" i="2"/>
  <c r="E163" i="2"/>
  <c r="K162" i="2"/>
  <c r="J162" i="2"/>
  <c r="H162" i="2"/>
  <c r="G162" i="2"/>
  <c r="I162" i="2" s="1"/>
  <c r="F162" i="2"/>
  <c r="E162" i="2"/>
  <c r="K161" i="2"/>
  <c r="J161" i="2"/>
  <c r="H161" i="2"/>
  <c r="E161" i="2"/>
  <c r="G161" i="2" s="1"/>
  <c r="K160" i="2"/>
  <c r="J160" i="2"/>
  <c r="H160" i="2"/>
  <c r="G160" i="2"/>
  <c r="F160" i="2"/>
  <c r="K159" i="2"/>
  <c r="J159" i="2"/>
  <c r="H159" i="2"/>
  <c r="F159" i="2"/>
  <c r="E159" i="2"/>
  <c r="G159" i="2" s="1"/>
  <c r="I159" i="2" s="1"/>
  <c r="K158" i="2"/>
  <c r="J158" i="2"/>
  <c r="H158" i="2"/>
  <c r="I158" i="2" s="1"/>
  <c r="G158" i="2"/>
  <c r="F158" i="2"/>
  <c r="E158" i="2"/>
  <c r="K157" i="2"/>
  <c r="J157" i="2"/>
  <c r="H157" i="2"/>
  <c r="F157" i="2"/>
  <c r="G157" i="2" s="1"/>
  <c r="I157" i="2" s="1"/>
  <c r="K156" i="2"/>
  <c r="J156" i="2"/>
  <c r="I156" i="2"/>
  <c r="H156" i="2"/>
  <c r="G156" i="2"/>
  <c r="F156" i="2"/>
  <c r="K155" i="2"/>
  <c r="J155" i="2"/>
  <c r="H155" i="2"/>
  <c r="I155" i="2" s="1"/>
  <c r="G155" i="2"/>
  <c r="F155" i="2"/>
  <c r="K154" i="2"/>
  <c r="J154" i="2"/>
  <c r="H154" i="2"/>
  <c r="I154" i="2" s="1"/>
  <c r="F154" i="2"/>
  <c r="G154" i="2" s="1"/>
  <c r="K153" i="2"/>
  <c r="J153" i="2"/>
  <c r="H153" i="2"/>
  <c r="I153" i="2" s="1"/>
  <c r="F153" i="2"/>
  <c r="G153" i="2" s="1"/>
  <c r="K152" i="2"/>
  <c r="J152" i="2"/>
  <c r="H152" i="2"/>
  <c r="F152" i="2"/>
  <c r="E152" i="2"/>
  <c r="G152" i="2" s="1"/>
  <c r="I152" i="2" s="1"/>
  <c r="K151" i="2"/>
  <c r="J151" i="2"/>
  <c r="H151" i="2"/>
  <c r="E151" i="2"/>
  <c r="G151" i="2" s="1"/>
  <c r="K150" i="2"/>
  <c r="J150" i="2"/>
  <c r="H150" i="2"/>
  <c r="F150" i="2"/>
  <c r="G150" i="2" s="1"/>
  <c r="I150" i="2" s="1"/>
  <c r="K149" i="2"/>
  <c r="J149" i="2"/>
  <c r="H149" i="2"/>
  <c r="I149" i="2" s="1"/>
  <c r="G149" i="2"/>
  <c r="F149" i="2"/>
  <c r="E149" i="2"/>
  <c r="K148" i="2"/>
  <c r="J148" i="2"/>
  <c r="H148" i="2"/>
  <c r="F148" i="2"/>
  <c r="G148" i="2" s="1"/>
  <c r="I148" i="2" s="1"/>
  <c r="K147" i="2"/>
  <c r="J147" i="2"/>
  <c r="I147" i="2"/>
  <c r="H147" i="2"/>
  <c r="G147" i="2"/>
  <c r="F147" i="2"/>
  <c r="K146" i="2"/>
  <c r="J146" i="2"/>
  <c r="H146" i="2"/>
  <c r="I146" i="2" s="1"/>
  <c r="G146" i="2"/>
  <c r="E146" i="2"/>
  <c r="K145" i="2"/>
  <c r="J145" i="2"/>
  <c r="H145" i="2"/>
  <c r="F145" i="2"/>
  <c r="G145" i="2" s="1"/>
  <c r="K144" i="2"/>
  <c r="J144" i="2"/>
  <c r="H144" i="2"/>
  <c r="F144" i="2"/>
  <c r="G144" i="2" s="1"/>
  <c r="I144" i="2" s="1"/>
  <c r="K143" i="2"/>
  <c r="J143" i="2"/>
  <c r="I143" i="2"/>
  <c r="H143" i="2"/>
  <c r="G143" i="2"/>
  <c r="F143" i="2"/>
  <c r="K142" i="2"/>
  <c r="J142" i="2"/>
  <c r="H142" i="2"/>
  <c r="I142" i="2" s="1"/>
  <c r="G142" i="2"/>
  <c r="F142" i="2"/>
  <c r="K141" i="2"/>
  <c r="J141" i="2"/>
  <c r="H141" i="2"/>
  <c r="F141" i="2"/>
  <c r="G141" i="2" s="1"/>
  <c r="K140" i="2"/>
  <c r="J140" i="2"/>
  <c r="H140" i="2"/>
  <c r="F140" i="2"/>
  <c r="G140" i="2" s="1"/>
  <c r="I140" i="2" s="1"/>
  <c r="K139" i="2"/>
  <c r="J139" i="2"/>
  <c r="I139" i="2"/>
  <c r="H139" i="2"/>
  <c r="G139" i="2"/>
  <c r="E139" i="2"/>
  <c r="K138" i="2"/>
  <c r="J138" i="2"/>
  <c r="H138" i="2"/>
  <c r="I138" i="2" s="1"/>
  <c r="G138" i="2"/>
  <c r="E138" i="2"/>
  <c r="K137" i="2"/>
  <c r="J137" i="2"/>
  <c r="H137" i="2"/>
  <c r="I137" i="2" s="1"/>
  <c r="F137" i="2"/>
  <c r="G137" i="2" s="1"/>
  <c r="K136" i="2"/>
  <c r="J136" i="2"/>
  <c r="H136" i="2"/>
  <c r="E136" i="2"/>
  <c r="G136" i="2" s="1"/>
  <c r="I136" i="2" s="1"/>
  <c r="K135" i="2"/>
  <c r="J135" i="2"/>
  <c r="I135" i="2"/>
  <c r="H135" i="2"/>
  <c r="G135" i="2"/>
  <c r="F135" i="2"/>
  <c r="E135" i="2"/>
  <c r="K134" i="2"/>
  <c r="J134" i="2"/>
  <c r="H134" i="2"/>
  <c r="F134" i="2"/>
  <c r="E134" i="2"/>
  <c r="G134" i="2" s="1"/>
  <c r="K133" i="2"/>
  <c r="J133" i="2"/>
  <c r="H133" i="2"/>
  <c r="I133" i="2" s="1"/>
  <c r="G133" i="2"/>
  <c r="F133" i="2"/>
  <c r="E133" i="2"/>
  <c r="K132" i="2"/>
  <c r="J132" i="2"/>
  <c r="H132" i="2"/>
  <c r="F132" i="2"/>
  <c r="G132" i="2" s="1"/>
  <c r="I132" i="2" s="1"/>
  <c r="E132" i="2"/>
  <c r="K131" i="2"/>
  <c r="J131" i="2"/>
  <c r="H131" i="2"/>
  <c r="F131" i="2"/>
  <c r="G131" i="2" s="1"/>
  <c r="K130" i="2"/>
  <c r="J130" i="2"/>
  <c r="H130" i="2"/>
  <c r="F130" i="2"/>
  <c r="G130" i="2" s="1"/>
  <c r="I130" i="2" s="1"/>
  <c r="K129" i="2"/>
  <c r="J129" i="2"/>
  <c r="I129" i="2"/>
  <c r="H129" i="2"/>
  <c r="G129" i="2"/>
  <c r="F129" i="2"/>
  <c r="K128" i="2"/>
  <c r="J128" i="2"/>
  <c r="H128" i="2"/>
  <c r="I128" i="2" s="1"/>
  <c r="G128" i="2"/>
  <c r="F128" i="2"/>
  <c r="E128" i="2"/>
  <c r="K127" i="2"/>
  <c r="J127" i="2"/>
  <c r="H127" i="2"/>
  <c r="F127" i="2"/>
  <c r="G127" i="2" s="1"/>
  <c r="I127" i="2" s="1"/>
  <c r="E127" i="2"/>
  <c r="K126" i="2"/>
  <c r="J126" i="2"/>
  <c r="H126" i="2"/>
  <c r="I126" i="2" s="1"/>
  <c r="E126" i="2"/>
  <c r="G126" i="2" s="1"/>
  <c r="K125" i="2"/>
  <c r="J125" i="2"/>
  <c r="H125" i="2"/>
  <c r="F125" i="2"/>
  <c r="G125" i="2" s="1"/>
  <c r="I125" i="2" s="1"/>
  <c r="K124" i="2"/>
  <c r="J124" i="2"/>
  <c r="I124" i="2"/>
  <c r="H124" i="2"/>
  <c r="G124" i="2"/>
  <c r="F124" i="2"/>
  <c r="E124" i="2"/>
  <c r="K123" i="2"/>
  <c r="J123" i="2"/>
  <c r="H123" i="2"/>
  <c r="E123" i="2"/>
  <c r="G123" i="2" s="1"/>
  <c r="K122" i="2"/>
  <c r="J122" i="2"/>
  <c r="H122" i="2"/>
  <c r="F122" i="2"/>
  <c r="G122" i="2" s="1"/>
  <c r="I122" i="2" s="1"/>
  <c r="K121" i="2"/>
  <c r="J121" i="2"/>
  <c r="H121" i="2"/>
  <c r="G121" i="2"/>
  <c r="I121" i="2" s="1"/>
  <c r="F121" i="2"/>
  <c r="E121" i="2"/>
  <c r="K120" i="2"/>
  <c r="J120" i="2"/>
  <c r="H120" i="2"/>
  <c r="F120" i="2"/>
  <c r="E120" i="2"/>
  <c r="G120" i="2" s="1"/>
  <c r="I120" i="2" s="1"/>
  <c r="K119" i="2"/>
  <c r="J119" i="2"/>
  <c r="H119" i="2"/>
  <c r="F119" i="2"/>
  <c r="E119" i="2"/>
  <c r="G119" i="2" s="1"/>
  <c r="K118" i="2"/>
  <c r="J118" i="2"/>
  <c r="I118" i="2"/>
  <c r="H118" i="2"/>
  <c r="G118" i="2"/>
  <c r="F118" i="2"/>
  <c r="K117" i="2"/>
  <c r="J117" i="2"/>
  <c r="H117" i="2"/>
  <c r="I117" i="2" s="1"/>
  <c r="G117" i="2"/>
  <c r="F117" i="2"/>
  <c r="K116" i="2"/>
  <c r="J116" i="2"/>
  <c r="H116" i="2"/>
  <c r="F116" i="2"/>
  <c r="G116" i="2" s="1"/>
  <c r="K115" i="2"/>
  <c r="J115" i="2"/>
  <c r="H115" i="2"/>
  <c r="F115" i="2"/>
  <c r="E115" i="2"/>
  <c r="G115" i="2" s="1"/>
  <c r="I115" i="2" s="1"/>
  <c r="K114" i="2"/>
  <c r="J114" i="2"/>
  <c r="H114" i="2"/>
  <c r="I114" i="2" s="1"/>
  <c r="G114" i="2"/>
  <c r="E114" i="2"/>
  <c r="K113" i="2"/>
  <c r="J113" i="2"/>
  <c r="H113" i="2"/>
  <c r="I113" i="2" s="1"/>
  <c r="F113" i="2"/>
  <c r="G113" i="2" s="1"/>
  <c r="K112" i="2"/>
  <c r="J112" i="2"/>
  <c r="H112" i="2"/>
  <c r="E112" i="2"/>
  <c r="G112" i="2" s="1"/>
  <c r="I112" i="2" s="1"/>
  <c r="K111" i="2"/>
  <c r="J111" i="2"/>
  <c r="H111" i="2"/>
  <c r="G111" i="2"/>
  <c r="I111" i="2" s="1"/>
  <c r="F111" i="2"/>
  <c r="K110" i="2"/>
  <c r="J110" i="2"/>
  <c r="H110" i="2"/>
  <c r="I110" i="2" s="1"/>
  <c r="G110" i="2"/>
  <c r="F110" i="2"/>
  <c r="K109" i="2"/>
  <c r="J109" i="2"/>
  <c r="H109" i="2"/>
  <c r="E109" i="2"/>
  <c r="G109" i="2" s="1"/>
  <c r="K108" i="2"/>
  <c r="J108" i="2"/>
  <c r="H108" i="2"/>
  <c r="F108" i="2"/>
  <c r="G108" i="2" s="1"/>
  <c r="I108" i="2" s="1"/>
  <c r="E108" i="2"/>
  <c r="K107" i="2"/>
  <c r="J107" i="2"/>
  <c r="H107" i="2"/>
  <c r="I107" i="2" s="1"/>
  <c r="F107" i="2"/>
  <c r="E107" i="2"/>
  <c r="G107" i="2" s="1"/>
  <c r="K106" i="2"/>
  <c r="J106" i="2"/>
  <c r="H106" i="2"/>
  <c r="G106" i="2"/>
  <c r="I106" i="2" s="1"/>
  <c r="F106" i="2"/>
  <c r="E106" i="2"/>
  <c r="K105" i="2"/>
  <c r="J105" i="2"/>
  <c r="H105" i="2"/>
  <c r="E105" i="2"/>
  <c r="G105" i="2" s="1"/>
  <c r="I105" i="2" s="1"/>
  <c r="K104" i="2"/>
  <c r="J104" i="2"/>
  <c r="I104" i="2"/>
  <c r="H104" i="2"/>
  <c r="G104" i="2"/>
  <c r="F104" i="2"/>
  <c r="E104" i="2"/>
  <c r="K103" i="2"/>
  <c r="J103" i="2"/>
  <c r="H103" i="2"/>
  <c r="I103" i="2" s="1"/>
  <c r="F103" i="2"/>
  <c r="E103" i="2"/>
  <c r="G103" i="2" s="1"/>
  <c r="K102" i="2"/>
  <c r="J102" i="2"/>
  <c r="H102" i="2"/>
  <c r="I102" i="2" s="1"/>
  <c r="G102" i="2"/>
  <c r="F102" i="2"/>
  <c r="K101" i="2"/>
  <c r="J101" i="2"/>
  <c r="H101" i="2"/>
  <c r="I101" i="2" s="1"/>
  <c r="E101" i="2"/>
  <c r="G101" i="2" s="1"/>
  <c r="K100" i="2"/>
  <c r="J100" i="2"/>
  <c r="H100" i="2"/>
  <c r="F100" i="2"/>
  <c r="G100" i="2" s="1"/>
  <c r="I100" i="2" s="1"/>
  <c r="K99" i="2"/>
  <c r="J99" i="2"/>
  <c r="I99" i="2"/>
  <c r="H99" i="2"/>
  <c r="G99" i="2"/>
  <c r="F99" i="2"/>
  <c r="K98" i="2"/>
  <c r="J98" i="2"/>
  <c r="H98" i="2"/>
  <c r="I98" i="2" s="1"/>
  <c r="G98" i="2"/>
  <c r="F98" i="2"/>
  <c r="E98" i="2"/>
  <c r="K97" i="2"/>
  <c r="J97" i="2"/>
  <c r="H97" i="2"/>
  <c r="F97" i="2"/>
  <c r="G97" i="2" s="1"/>
  <c r="I97" i="2" s="1"/>
  <c r="E97" i="2"/>
  <c r="K96" i="2"/>
  <c r="J96" i="2"/>
  <c r="H96" i="2"/>
  <c r="F96" i="2"/>
  <c r="E96" i="2"/>
  <c r="G96" i="2" s="1"/>
  <c r="K95" i="2"/>
  <c r="J95" i="2"/>
  <c r="H95" i="2"/>
  <c r="G95" i="2"/>
  <c r="I95" i="2" s="1"/>
  <c r="F95" i="2"/>
  <c r="K94" i="2"/>
  <c r="J94" i="2"/>
  <c r="H94" i="2"/>
  <c r="I94" i="2" s="1"/>
  <c r="G94" i="2"/>
  <c r="E94" i="2"/>
  <c r="K93" i="2"/>
  <c r="J93" i="2"/>
  <c r="H93" i="2"/>
  <c r="F93" i="2"/>
  <c r="G93" i="2" s="1"/>
  <c r="K92" i="2"/>
  <c r="J92" i="2"/>
  <c r="H92" i="2"/>
  <c r="F92" i="2"/>
  <c r="G92" i="2" s="1"/>
  <c r="I92" i="2" s="1"/>
  <c r="E92" i="2"/>
  <c r="K91" i="2"/>
  <c r="J91" i="2"/>
  <c r="H91" i="2"/>
  <c r="I91" i="2" s="1"/>
  <c r="F91" i="2"/>
  <c r="G91" i="2" s="1"/>
  <c r="K90" i="2"/>
  <c r="J90" i="2"/>
  <c r="H90" i="2"/>
  <c r="F90" i="2"/>
  <c r="G90" i="2" s="1"/>
  <c r="I90" i="2" s="1"/>
  <c r="K89" i="2"/>
  <c r="J89" i="2"/>
  <c r="I89" i="2"/>
  <c r="H89" i="2"/>
  <c r="G89" i="2"/>
  <c r="F89" i="2"/>
  <c r="K88" i="2"/>
  <c r="J88" i="2"/>
  <c r="H88" i="2"/>
  <c r="I88" i="2" s="1"/>
  <c r="G88" i="2"/>
  <c r="E88" i="2"/>
  <c r="K87" i="2"/>
  <c r="J87" i="2"/>
  <c r="H87" i="2"/>
  <c r="F87" i="2"/>
  <c r="G87" i="2" s="1"/>
  <c r="K86" i="2"/>
  <c r="J86" i="2"/>
  <c r="H86" i="2"/>
  <c r="F86" i="2"/>
  <c r="G86" i="2" s="1"/>
  <c r="I86" i="2" s="1"/>
  <c r="K85" i="2"/>
  <c r="J85" i="2"/>
  <c r="H85" i="2"/>
  <c r="E85" i="2"/>
  <c r="G85" i="2" s="1"/>
  <c r="I85" i="2" s="1"/>
  <c r="K84" i="2"/>
  <c r="J84" i="2"/>
  <c r="H84" i="2"/>
  <c r="I84" i="2" s="1"/>
  <c r="G84" i="2"/>
  <c r="F84" i="2"/>
  <c r="K83" i="2"/>
  <c r="J83" i="2"/>
  <c r="H83" i="2"/>
  <c r="I83" i="2" s="1"/>
  <c r="F83" i="2"/>
  <c r="E83" i="2"/>
  <c r="G83" i="2" s="1"/>
  <c r="K82" i="2"/>
  <c r="J82" i="2"/>
  <c r="H82" i="2"/>
  <c r="G82" i="2"/>
  <c r="I82" i="2" s="1"/>
  <c r="F82" i="2"/>
  <c r="K81" i="2"/>
  <c r="J81" i="2"/>
  <c r="H81" i="2"/>
  <c r="I81" i="2" s="1"/>
  <c r="G81" i="2"/>
  <c r="E81" i="2"/>
  <c r="K80" i="2"/>
  <c r="J80" i="2"/>
  <c r="H80" i="2"/>
  <c r="F80" i="2"/>
  <c r="G80" i="2" s="1"/>
  <c r="K79" i="2"/>
  <c r="J79" i="2"/>
  <c r="H79" i="2"/>
  <c r="F79" i="2"/>
  <c r="G79" i="2" s="1"/>
  <c r="I79" i="2" s="1"/>
  <c r="K78" i="2"/>
  <c r="J78" i="2"/>
  <c r="H78" i="2"/>
  <c r="G78" i="2"/>
  <c r="I78" i="2" s="1"/>
  <c r="F78" i="2"/>
  <c r="K77" i="2"/>
  <c r="J77" i="2"/>
  <c r="H77" i="2"/>
  <c r="F77" i="2"/>
  <c r="E77" i="2"/>
  <c r="G77" i="2" s="1"/>
  <c r="K76" i="2"/>
  <c r="J76" i="2"/>
  <c r="I76" i="2"/>
  <c r="H76" i="2"/>
  <c r="G76" i="2"/>
  <c r="E76" i="2"/>
  <c r="K75" i="2"/>
  <c r="J75" i="2"/>
  <c r="H75" i="2"/>
  <c r="I75" i="2" s="1"/>
  <c r="G75" i="2"/>
  <c r="F75" i="2"/>
  <c r="K74" i="2"/>
  <c r="J74" i="2"/>
  <c r="H74" i="2"/>
  <c r="I74" i="2" s="1"/>
  <c r="F74" i="2"/>
  <c r="G74" i="2" s="1"/>
  <c r="K73" i="2"/>
  <c r="J73" i="2"/>
  <c r="H73" i="2"/>
  <c r="F73" i="2"/>
  <c r="G73" i="2" s="1"/>
  <c r="I73" i="2" s="1"/>
  <c r="K72" i="2"/>
  <c r="J72" i="2"/>
  <c r="I72" i="2"/>
  <c r="H72" i="2"/>
  <c r="G72" i="2"/>
  <c r="E72" i="2"/>
  <c r="K71" i="2"/>
  <c r="J71" i="2"/>
  <c r="H71" i="2"/>
  <c r="I71" i="2" s="1"/>
  <c r="G71" i="2"/>
  <c r="F71" i="2"/>
  <c r="K70" i="2"/>
  <c r="J70" i="2"/>
  <c r="H70" i="2"/>
  <c r="F70" i="2"/>
  <c r="G70" i="2" s="1"/>
  <c r="K69" i="2"/>
  <c r="J69" i="2"/>
  <c r="H69" i="2"/>
  <c r="F69" i="2"/>
  <c r="G69" i="2" s="1"/>
  <c r="I69" i="2" s="1"/>
  <c r="K68" i="2"/>
  <c r="J68" i="2"/>
  <c r="H68" i="2"/>
  <c r="F68" i="2"/>
  <c r="G68" i="2" s="1"/>
  <c r="I68" i="2" s="1"/>
  <c r="E68" i="2"/>
  <c r="K67" i="2"/>
  <c r="J67" i="2"/>
  <c r="H67" i="2"/>
  <c r="I67" i="2" s="1"/>
  <c r="F67" i="2"/>
  <c r="G67" i="2" s="1"/>
  <c r="K66" i="2"/>
  <c r="J66" i="2"/>
  <c r="H66" i="2"/>
  <c r="F66" i="2"/>
  <c r="G66" i="2" s="1"/>
  <c r="I66" i="2" s="1"/>
  <c r="E66" i="2"/>
  <c r="K65" i="2"/>
  <c r="J65" i="2"/>
  <c r="H65" i="2"/>
  <c r="F65" i="2"/>
  <c r="E65" i="2"/>
  <c r="G65" i="2" s="1"/>
  <c r="K64" i="2"/>
  <c r="J64" i="2"/>
  <c r="H64" i="2"/>
  <c r="G64" i="2"/>
  <c r="I64" i="2" s="1"/>
  <c r="F64" i="2"/>
  <c r="K63" i="2"/>
  <c r="J63" i="2"/>
  <c r="H63" i="2"/>
  <c r="F63" i="2"/>
  <c r="E63" i="2"/>
  <c r="G63" i="2" s="1"/>
  <c r="K62" i="2"/>
  <c r="J62" i="2"/>
  <c r="I62" i="2"/>
  <c r="H62" i="2"/>
  <c r="G62" i="2"/>
  <c r="F62" i="2"/>
  <c r="K61" i="2"/>
  <c r="J61" i="2"/>
  <c r="H61" i="2"/>
  <c r="I61" i="2" s="1"/>
  <c r="G61" i="2"/>
  <c r="F61" i="2"/>
  <c r="K60" i="2"/>
  <c r="J60" i="2"/>
  <c r="H60" i="2"/>
  <c r="F60" i="2"/>
  <c r="G60" i="2" s="1"/>
  <c r="K59" i="2"/>
  <c r="J59" i="2"/>
  <c r="H59" i="2"/>
  <c r="I59" i="2" s="1"/>
  <c r="F59" i="2"/>
  <c r="E59" i="2"/>
  <c r="G59" i="2" s="1"/>
  <c r="K58" i="2"/>
  <c r="J58" i="2"/>
  <c r="H58" i="2"/>
  <c r="I58" i="2" s="1"/>
  <c r="G58" i="2"/>
  <c r="F58" i="2"/>
  <c r="K57" i="2"/>
  <c r="J57" i="2"/>
  <c r="H57" i="2"/>
  <c r="E57" i="2"/>
  <c r="G57" i="2" s="1"/>
  <c r="K56" i="2"/>
  <c r="J56" i="2"/>
  <c r="H56" i="2"/>
  <c r="E56" i="2"/>
  <c r="G56" i="2" s="1"/>
  <c r="I56" i="2" s="1"/>
  <c r="K55" i="2"/>
  <c r="J55" i="2"/>
  <c r="H55" i="2"/>
  <c r="G55" i="2"/>
  <c r="I55" i="2" s="1"/>
  <c r="F55" i="2"/>
  <c r="E55" i="2"/>
  <c r="K54" i="2"/>
  <c r="J54" i="2"/>
  <c r="H54" i="2"/>
  <c r="F54" i="2"/>
  <c r="G54" i="2" s="1"/>
  <c r="K53" i="2"/>
  <c r="J53" i="2"/>
  <c r="H53" i="2"/>
  <c r="F53" i="2"/>
  <c r="G53" i="2" s="1"/>
  <c r="I53" i="2" s="1"/>
  <c r="K52" i="2"/>
  <c r="J52" i="2"/>
  <c r="H52" i="2"/>
  <c r="I52" i="2" s="1"/>
  <c r="G52" i="2"/>
  <c r="F52" i="2"/>
  <c r="K51" i="2"/>
  <c r="J51" i="2"/>
  <c r="H51" i="2"/>
  <c r="I51" i="2" s="1"/>
  <c r="F51" i="2"/>
  <c r="G51" i="2" s="1"/>
  <c r="K50" i="2"/>
  <c r="J50" i="2"/>
  <c r="H50" i="2"/>
  <c r="F50" i="2"/>
  <c r="E50" i="2"/>
  <c r="G50" i="2" s="1"/>
  <c r="K49" i="2"/>
  <c r="J49" i="2"/>
  <c r="H49" i="2"/>
  <c r="I49" i="2" s="1"/>
  <c r="F49" i="2"/>
  <c r="E49" i="2"/>
  <c r="G49" i="2" s="1"/>
  <c r="K48" i="2"/>
  <c r="J48" i="2"/>
  <c r="H48" i="2"/>
  <c r="E48" i="2"/>
  <c r="G48" i="2" s="1"/>
  <c r="I48" i="2" s="1"/>
  <c r="K47" i="2"/>
  <c r="J47" i="2"/>
  <c r="H47" i="2"/>
  <c r="I47" i="2" s="1"/>
  <c r="G47" i="2"/>
  <c r="F47" i="2"/>
  <c r="E47" i="2"/>
  <c r="K46" i="2"/>
  <c r="J46" i="2"/>
  <c r="H46" i="2"/>
  <c r="F46" i="2"/>
  <c r="G46" i="2" s="1"/>
  <c r="I46" i="2" s="1"/>
  <c r="K45" i="2"/>
  <c r="J45" i="2"/>
  <c r="H45" i="2"/>
  <c r="G45" i="2"/>
  <c r="I45" i="2" s="1"/>
  <c r="F45" i="2"/>
  <c r="K44" i="2"/>
  <c r="J44" i="2"/>
  <c r="H44" i="2"/>
  <c r="I44" i="2" s="1"/>
  <c r="F44" i="2"/>
  <c r="E44" i="2"/>
  <c r="G44" i="2" s="1"/>
  <c r="K43" i="2"/>
  <c r="J43" i="2"/>
  <c r="H43" i="2"/>
  <c r="F43" i="2"/>
  <c r="G43" i="2" s="1"/>
  <c r="I43" i="2" s="1"/>
  <c r="E43" i="2"/>
  <c r="K42" i="2"/>
  <c r="J42" i="2"/>
  <c r="H42" i="2"/>
  <c r="I42" i="2" s="1"/>
  <c r="F42" i="2"/>
  <c r="E42" i="2"/>
  <c r="G42" i="2" s="1"/>
  <c r="K41" i="2"/>
  <c r="J41" i="2"/>
  <c r="H41" i="2"/>
  <c r="I41" i="2" s="1"/>
  <c r="G41" i="2"/>
  <c r="F41" i="2"/>
  <c r="K40" i="2"/>
  <c r="J40" i="2"/>
  <c r="H40" i="2"/>
  <c r="F40" i="2"/>
  <c r="G40" i="2" s="1"/>
  <c r="K39" i="2"/>
  <c r="J39" i="2"/>
  <c r="H39" i="2"/>
  <c r="I39" i="2" s="1"/>
  <c r="E39" i="2"/>
  <c r="G39" i="2" s="1"/>
  <c r="K38" i="2"/>
  <c r="J38" i="2"/>
  <c r="H38" i="2"/>
  <c r="E38" i="2"/>
  <c r="G38" i="2" s="1"/>
  <c r="I38" i="2" s="1"/>
  <c r="K37" i="2"/>
  <c r="J37" i="2"/>
  <c r="H37" i="2"/>
  <c r="I37" i="2" s="1"/>
  <c r="G37" i="2"/>
  <c r="F37" i="2"/>
  <c r="K36" i="2"/>
  <c r="J36" i="2"/>
  <c r="H36" i="2"/>
  <c r="F36" i="2"/>
  <c r="G36" i="2" s="1"/>
  <c r="K35" i="2"/>
  <c r="J35" i="2"/>
  <c r="H35" i="2"/>
  <c r="E35" i="2"/>
  <c r="G35" i="2" s="1"/>
  <c r="K34" i="2"/>
  <c r="J34" i="2"/>
  <c r="H34" i="2"/>
  <c r="E34" i="2"/>
  <c r="G34" i="2" s="1"/>
  <c r="I34" i="2" s="1"/>
  <c r="K33" i="2"/>
  <c r="J33" i="2"/>
  <c r="H33" i="2"/>
  <c r="I33" i="2" s="1"/>
  <c r="G33" i="2"/>
  <c r="F33" i="2"/>
  <c r="K32" i="2"/>
  <c r="J32" i="2"/>
  <c r="H32" i="2"/>
  <c r="F32" i="2"/>
  <c r="G32" i="2" s="1"/>
  <c r="K31" i="2"/>
  <c r="J31" i="2"/>
  <c r="H31" i="2"/>
  <c r="F31" i="2"/>
  <c r="G31" i="2" s="1"/>
  <c r="K30" i="2"/>
  <c r="J30" i="2"/>
  <c r="I30" i="2"/>
  <c r="H30" i="2"/>
  <c r="F30" i="2"/>
  <c r="G30" i="2" s="1"/>
  <c r="K29" i="2"/>
  <c r="J29" i="2"/>
  <c r="H29" i="2"/>
  <c r="G29" i="2"/>
  <c r="F29" i="2"/>
  <c r="K28" i="2"/>
  <c r="J28" i="2"/>
  <c r="H28" i="2"/>
  <c r="F28" i="2"/>
  <c r="E28" i="2"/>
  <c r="K27" i="2"/>
  <c r="J27" i="2"/>
  <c r="H27" i="2"/>
  <c r="G27" i="2"/>
  <c r="I27" i="2" s="1"/>
  <c r="F27" i="2"/>
  <c r="E27" i="2"/>
  <c r="K26" i="2"/>
  <c r="J26" i="2"/>
  <c r="H26" i="2"/>
  <c r="E26" i="2"/>
  <c r="G26" i="2" s="1"/>
  <c r="K25" i="2"/>
  <c r="J25" i="2"/>
  <c r="H25" i="2"/>
  <c r="E25" i="2"/>
  <c r="G25" i="2" s="1"/>
  <c r="I25" i="2" s="1"/>
  <c r="K24" i="2"/>
  <c r="J24" i="2"/>
  <c r="H24" i="2"/>
  <c r="I24" i="2" s="1"/>
  <c r="G24" i="2"/>
  <c r="F24" i="2"/>
  <c r="K23" i="2"/>
  <c r="J23" i="2"/>
  <c r="H23" i="2"/>
  <c r="I23" i="2" s="1"/>
  <c r="F23" i="2"/>
  <c r="G23" i="2" s="1"/>
  <c r="K22" i="2"/>
  <c r="J22" i="2"/>
  <c r="H22" i="2"/>
  <c r="I22" i="2" s="1"/>
  <c r="F22" i="2"/>
  <c r="G22" i="2" s="1"/>
  <c r="K21" i="2"/>
  <c r="J21" i="2"/>
  <c r="H21" i="2"/>
  <c r="G21" i="2"/>
  <c r="I21" i="2" s="1"/>
  <c r="F21" i="2"/>
  <c r="K20" i="2"/>
  <c r="J20" i="2"/>
  <c r="H20" i="2"/>
  <c r="F20" i="2"/>
  <c r="E20" i="2"/>
  <c r="G20" i="2" s="1"/>
  <c r="K19" i="2"/>
  <c r="J19" i="2"/>
  <c r="H19" i="2"/>
  <c r="E19" i="2"/>
  <c r="G19" i="2" s="1"/>
  <c r="I19" i="2" s="1"/>
  <c r="K18" i="2"/>
  <c r="J18" i="2"/>
  <c r="I18" i="2"/>
  <c r="H18" i="2"/>
  <c r="G18" i="2"/>
  <c r="F18" i="2"/>
  <c r="E18" i="2"/>
  <c r="K17" i="2"/>
  <c r="J17" i="2"/>
  <c r="H17" i="2"/>
  <c r="I17" i="2" s="1"/>
  <c r="F17" i="2"/>
  <c r="E17" i="2"/>
  <c r="G17" i="2" s="1"/>
  <c r="K16" i="2"/>
  <c r="J16" i="2"/>
  <c r="H16" i="2"/>
  <c r="G16" i="2"/>
  <c r="I16" i="2" s="1"/>
  <c r="F16" i="2"/>
  <c r="E16" i="2"/>
  <c r="K15" i="2"/>
  <c r="J15" i="2"/>
  <c r="H15" i="2"/>
  <c r="F15" i="2"/>
  <c r="G15" i="2" s="1"/>
  <c r="K14" i="2"/>
  <c r="J14" i="2"/>
  <c r="H14" i="2"/>
  <c r="F14" i="2"/>
  <c r="E14" i="2"/>
  <c r="G14" i="2" s="1"/>
  <c r="K13" i="2"/>
  <c r="J13" i="2"/>
  <c r="I13" i="2"/>
  <c r="H13" i="2"/>
  <c r="G13" i="2"/>
  <c r="F13" i="2"/>
  <c r="E13" i="2"/>
  <c r="K12" i="2"/>
  <c r="J12" i="2"/>
  <c r="H12" i="2"/>
  <c r="F12" i="2"/>
  <c r="G12" i="2" s="1"/>
  <c r="K11" i="2"/>
  <c r="J11" i="2"/>
  <c r="H11" i="2"/>
  <c r="I11" i="2" s="1"/>
  <c r="F11" i="2"/>
  <c r="G11" i="2" s="1"/>
  <c r="K10" i="2"/>
  <c r="J10" i="2"/>
  <c r="I10" i="2"/>
  <c r="H10" i="2"/>
  <c r="G10" i="2"/>
  <c r="F10" i="2"/>
  <c r="K9" i="2"/>
  <c r="J9" i="2"/>
  <c r="H9" i="2"/>
  <c r="I9" i="2" s="1"/>
  <c r="G9" i="2"/>
  <c r="F9" i="2"/>
  <c r="K8" i="2"/>
  <c r="J8" i="2"/>
  <c r="H8" i="2"/>
  <c r="I8" i="2" s="1"/>
  <c r="F8" i="2"/>
  <c r="G8" i="2" s="1"/>
  <c r="K7" i="2"/>
  <c r="J7" i="2"/>
  <c r="H7" i="2"/>
  <c r="F7" i="2"/>
  <c r="G7" i="2" s="1"/>
  <c r="I7" i="2" s="1"/>
  <c r="K6" i="2"/>
  <c r="J6" i="2"/>
  <c r="I6" i="2"/>
  <c r="H6" i="2"/>
  <c r="G6" i="2"/>
  <c r="F6" i="2"/>
  <c r="E6" i="2"/>
  <c r="K5" i="2"/>
  <c r="J5" i="2"/>
  <c r="H5" i="2"/>
  <c r="I5" i="2" s="1"/>
  <c r="G5" i="2"/>
  <c r="F5" i="2"/>
  <c r="E5" i="2"/>
  <c r="K4" i="2"/>
  <c r="J4" i="2"/>
  <c r="H4" i="2"/>
  <c r="I4" i="2" s="1"/>
  <c r="G4" i="2"/>
  <c r="F4" i="2"/>
  <c r="E4" i="2"/>
  <c r="K3" i="2"/>
  <c r="J3" i="2"/>
  <c r="H3" i="2"/>
  <c r="G3" i="2"/>
  <c r="I3" i="2" s="1"/>
  <c r="F3" i="2"/>
  <c r="E3" i="2"/>
  <c r="K2" i="2"/>
  <c r="J2" i="2"/>
  <c r="H2" i="2"/>
  <c r="E2" i="2"/>
  <c r="G2" i="2" s="1"/>
  <c r="I2" i="2" l="1"/>
  <c r="I15" i="2"/>
  <c r="I29" i="2"/>
  <c r="I40" i="2"/>
  <c r="I57" i="2"/>
  <c r="I65" i="2"/>
  <c r="I141" i="2"/>
  <c r="I151" i="2"/>
  <c r="I161" i="2"/>
  <c r="I188" i="2"/>
  <c r="G28" i="2"/>
  <c r="I31" i="2"/>
  <c r="I50" i="2"/>
  <c r="I77" i="2"/>
  <c r="I96" i="2"/>
  <c r="I20" i="2"/>
  <c r="I54" i="2"/>
  <c r="I93" i="2"/>
  <c r="I28" i="2"/>
  <c r="I35" i="2"/>
  <c r="I109" i="2"/>
  <c r="I116" i="2"/>
  <c r="I119" i="2"/>
  <c r="I145" i="2"/>
  <c r="I183" i="2"/>
  <c r="I14" i="2"/>
  <c r="I32" i="2"/>
  <c r="I60" i="2"/>
  <c r="I63" i="2"/>
  <c r="I70" i="2"/>
  <c r="I80" i="2"/>
  <c r="I87" i="2"/>
  <c r="I123" i="2"/>
  <c r="I131" i="2"/>
  <c r="I134" i="2"/>
  <c r="I191" i="2"/>
  <c r="I12" i="2"/>
  <c r="I26" i="2"/>
  <c r="I36" i="2"/>
  <c r="I231" i="2"/>
  <c r="I241" i="2"/>
  <c r="I265" i="2"/>
  <c r="I279" i="2"/>
  <c r="I500" i="2"/>
  <c r="I160" i="2"/>
  <c r="I190" i="2"/>
  <c r="I213" i="2"/>
  <c r="I258" i="2"/>
  <c r="I267" i="2"/>
  <c r="I314" i="2"/>
  <c r="I325" i="2"/>
  <c r="I333" i="2"/>
  <c r="I350" i="2"/>
  <c r="I358" i="2"/>
  <c r="I365" i="2"/>
  <c r="I372" i="2"/>
  <c r="I383" i="2"/>
  <c r="I394" i="2"/>
  <c r="I472" i="2"/>
  <c r="I483" i="2"/>
  <c r="I495" i="2"/>
  <c r="I523" i="2"/>
  <c r="I525" i="2"/>
  <c r="I226" i="2"/>
  <c r="I250" i="2"/>
  <c r="I264" i="2"/>
  <c r="I269" i="2"/>
  <c r="I278" i="2"/>
  <c r="I319" i="2"/>
  <c r="I360" i="2"/>
  <c r="I388" i="2"/>
  <c r="I424" i="2"/>
  <c r="I497" i="2"/>
  <c r="I502" i="2"/>
  <c r="I186" i="2"/>
  <c r="I209" i="2"/>
  <c r="I237" i="2"/>
  <c r="I445" i="2"/>
  <c r="I453" i="2"/>
  <c r="I492" i="2"/>
  <c r="I518" i="2"/>
  <c r="I246" i="2"/>
  <c r="I255" i="2"/>
  <c r="I308" i="2"/>
  <c r="I347" i="2"/>
  <c r="I364" i="2"/>
  <c r="I369" i="2"/>
  <c r="I374" i="2"/>
  <c r="I387" i="2"/>
  <c r="I393" i="2"/>
  <c r="I398" i="2"/>
  <c r="G180" i="2"/>
  <c r="I180" i="2" s="1"/>
  <c r="I182" i="2"/>
  <c r="I225" i="2"/>
  <c r="I257" i="2"/>
  <c r="I268" i="2"/>
  <c r="I274" i="2"/>
  <c r="I300" i="2"/>
  <c r="I318" i="2"/>
  <c r="I332" i="2"/>
  <c r="I339" i="2"/>
  <c r="I349" i="2"/>
  <c r="I359" i="2"/>
  <c r="I371" i="2"/>
  <c r="I412" i="2"/>
  <c r="I458" i="2"/>
  <c r="I522" i="2"/>
  <c r="I524" i="2"/>
  <c r="I526" i="2"/>
  <c r="I199" i="2"/>
  <c r="I222" i="2"/>
  <c r="I232" i="2"/>
  <c r="I259" i="2"/>
  <c r="I277" i="2"/>
  <c r="I280" i="2"/>
  <c r="I292" i="2"/>
  <c r="I295" i="2"/>
  <c r="G299" i="2"/>
  <c r="I299" i="2" s="1"/>
  <c r="I323" i="2"/>
  <c r="I334" i="2"/>
  <c r="I351" i="2"/>
  <c r="I373" i="2"/>
  <c r="I166" i="2"/>
  <c r="I194" i="2"/>
  <c r="I217" i="2"/>
  <c r="I254" i="2"/>
  <c r="G304" i="2"/>
  <c r="I304" i="2" s="1"/>
  <c r="G309" i="2"/>
  <c r="I309" i="2" s="1"/>
  <c r="I310" i="2"/>
  <c r="I320" i="2"/>
  <c r="I329" i="2"/>
  <c r="I336" i="2"/>
  <c r="I346" i="2"/>
  <c r="I356" i="2"/>
  <c r="I368" i="2"/>
  <c r="I379" i="2"/>
  <c r="I397" i="2"/>
  <c r="I402" i="2"/>
  <c r="G411" i="2"/>
  <c r="I411" i="2" s="1"/>
  <c r="I444" i="2"/>
  <c r="I486" i="2"/>
  <c r="I508" i="2"/>
  <c r="I511" i="2"/>
  <c r="I517" i="2"/>
  <c r="I519" i="2"/>
  <c r="I527" i="2" l="1"/>
</calcChain>
</file>

<file path=xl/sharedStrings.xml><?xml version="1.0" encoding="utf-8"?>
<sst xmlns="http://schemas.openxmlformats.org/spreadsheetml/2006/main" count="1587" uniqueCount="537">
  <si>
    <t>Article</t>
  </si>
  <si>
    <t>Description</t>
  </si>
  <si>
    <t>Organisation</t>
  </si>
  <si>
    <t>UdM</t>
  </si>
  <si>
    <t>OBS</t>
  </si>
  <si>
    <t>PCE</t>
  </si>
  <si>
    <t xml:space="preserve">3GV28041AB : Batterie pour combiné sans fil Bluetooth® pour poste Alcatel-Lucent IP Touch 4068 </t>
  </si>
  <si>
    <t xml:space="preserve">3EH76187AA : EXTENSION POUR BATTERIE RACK </t>
  </si>
  <si>
    <t>3MG08011AA 8008 POWER SUPPLY</t>
  </si>
  <si>
    <t xml:space="preserve">3EH73044BA : CARTE RECEPTION DE TAXES 12 KHz </t>
  </si>
  <si>
    <t>ENCOREPRO HW510,E+A Réf: 89433-02</t>
  </si>
  <si>
    <t>VOYAGER 6200 UC,B6200,BLACK,WW Réf: 208748-01</t>
  </si>
  <si>
    <t>CALISTO 5200,USB-A+3.5mm Réf : 210902-01</t>
  </si>
  <si>
    <t>M</t>
  </si>
  <si>
    <t>CABLE 74 56 6</t>
  </si>
  <si>
    <t>CABLE LY 2X2 6/10</t>
  </si>
  <si>
    <t>CABLE 15X2</t>
  </si>
  <si>
    <t>FIL JARRETIERE ROUGE/BLANC</t>
  </si>
  <si>
    <t>MANCHON POUR CONNECTEUR RJ45 NOIR</t>
  </si>
  <si>
    <t>CONNECTEUR SCOTCH  UY</t>
  </si>
  <si>
    <t>CONNECTEUR RJ11</t>
  </si>
  <si>
    <t>CONNECTEUR RJ45</t>
  </si>
  <si>
    <t>BOITE DE 100  ATTACHES DE 5mm  PLASTIQUE IVOIRE</t>
  </si>
  <si>
    <t>BOITE ATTACHES DE 9</t>
  </si>
  <si>
    <t>CHEVILLE BLEUE DE 8</t>
  </si>
  <si>
    <t>CONJONCTEUR FEMELLE 8 Plots Avec Vis</t>
  </si>
  <si>
    <t>BOITE DE RACCORDEMENT 7X2</t>
  </si>
  <si>
    <t>BOITE DE RACCORDEMENT 30 PAIRES</t>
  </si>
  <si>
    <t>BOITE DE RACCORDEMENT 42X2</t>
  </si>
  <si>
    <t>N420.426 Essential-5 Snap-In Connector Cat 5e Screened LSA/110</t>
  </si>
  <si>
    <t>VIS A BOIS 4/25</t>
  </si>
  <si>
    <t>VIS 4 X 40MM</t>
  </si>
  <si>
    <t>N200.116 LANmark EU Style 45 x 45 Surface mount box White</t>
  </si>
  <si>
    <t>N500.215 LANmark-5 PCB Patch Panel Screened 24 RJ45 Cat 5e Top Connect White</t>
  </si>
  <si>
    <t>EMBOUT POUR GOULOTTE 50X100</t>
  </si>
  <si>
    <t>CAB-TA-EU= Europe AC Type A Power Cable</t>
  </si>
  <si>
    <t>WIC -2T 2-Port Serial WAN Interface Card spare</t>
  </si>
  <si>
    <t>CAB-SS-449MT RS-449 CABLE DTE Male to Smart Serial 10 Feet</t>
  </si>
  <si>
    <t>COLLIER COLSON 319/16</t>
  </si>
  <si>
    <t>34625-21Duoset H141N/A Monaural</t>
  </si>
  <si>
    <t>POSTE 2930IP 710OB2427</t>
  </si>
  <si>
    <t>POSTE 2950IP 710OB2428</t>
  </si>
  <si>
    <t>COUPE CIRCUIT</t>
  </si>
  <si>
    <t xml:space="preserve">3BA23259AA CARTE CPU7 </t>
  </si>
  <si>
    <t xml:space="preserve">3BA23260AA Carte INTOF2 : Carte inter-Crystal </t>
  </si>
  <si>
    <t>COLLIER COLRING 31829</t>
  </si>
  <si>
    <t>CABLE 56X2 NON ARME CAT 5</t>
  </si>
  <si>
    <t xml:space="preserve">3EH73048BB Carte CPU du Communication Server avec SDRAM 256Mo (carte CS) </t>
  </si>
  <si>
    <t xml:space="preserve">3EH73063AF Carte fille VoIP8-2 : 8 canaux IP </t>
  </si>
  <si>
    <t xml:space="preserve">3EH73048BD Carte CPU applicative (carte GA-2)  </t>
  </si>
  <si>
    <t>3BA00406AV Module rack3¿ avec alimentation secteur 48V</t>
  </si>
  <si>
    <t>CABLE INFORMATIQUE FTP 2X4 CAT 6 </t>
  </si>
  <si>
    <t>L30251-U600-G400/HiPath 1120 V7 Box with 220V PSU, IM Basic System: 2×HKZ, 8×a/b (4 a/b + 4 a/b/c/d)</t>
  </si>
  <si>
    <t>N102.117 Covered Patch Guide White</t>
  </si>
  <si>
    <t>3BN67336AA 8232 DECT DESKTOP CHARGER PSU WW</t>
  </si>
  <si>
    <t>OS2260-P24-EU WebSmart+ 24p PoE+ Gig - EU cord</t>
  </si>
  <si>
    <t>Essential-5 Patch Cord Cat 5e Unscreened PVC Light Grey Boot 3m Light Grey</t>
  </si>
  <si>
    <t>Porte étiquette 8 paires</t>
  </si>
  <si>
    <t>3BA27119AA ACT14 mounting kit for installation in data cabinet</t>
  </si>
  <si>
    <t>3BA00760AA INT-IP3 60 PACK</t>
  </si>
  <si>
    <t>VWIC2-2MFT-T1/E1 2-Port 2nd Gen Multiflex Trunk Voice/WAN Int. Card - T1/E1</t>
  </si>
  <si>
    <t>3ML27310AA ALE-300 IP DESKPHONE W CORDED HANDSET</t>
  </si>
  <si>
    <t>HWIC-1T= -Port Serial WAN Interface Card</t>
  </si>
  <si>
    <t>VIC2-2BRI-NT/TE= Two-port Voice Interface Card - BRI (NT and TE)</t>
  </si>
  <si>
    <t>RAIL OMEGA</t>
  </si>
  <si>
    <t>3EH76156AA BATTERIE 12V/7AH</t>
  </si>
  <si>
    <t>3BN67335AA 8232 DECT Desktop charger PSU Europe</t>
  </si>
  <si>
    <t>POSTE TEMPORIS GRAPHITE T170 REF: ATL/D 1614217</t>
  </si>
  <si>
    <t>Filin de tirage monoline 2 mm (couronne de 1000 m)</t>
  </si>
  <si>
    <t>N423.520 LANmark EU Style Angled 45 x 45 Module 1 Snap-In White</t>
  </si>
  <si>
    <t>3EH73006AB ISDN ACCESS T0 BRA8 BOARD</t>
  </si>
  <si>
    <t>3GV27015AB Module d¿interfaces V24 et CTI pour les postes Alcatel-Lucent Digital - compatible avec la gamme Reflexes¿ - Cable RJ11/RJ11 3M - Cable 3m SubD9 mâle/SubD9 femelle</t>
  </si>
  <si>
    <t>N100.451 Essential - 5 F/UTP AWG24 Category 5e LSZH Orange</t>
  </si>
  <si>
    <t>Poste analogique de base</t>
  </si>
  <si>
    <t xml:space="preserve">3BN67318AA Simple chargeur livré sans alimentation pour mobile Alcatel-Lucent DECT 300&amp;400  </t>
  </si>
  <si>
    <t xml:space="preserve">3BN67307AB Alimentation type Europe pour simple chargeur dédiée mobiles Alcatel-Lucent DECT 300&amp;400  </t>
  </si>
  <si>
    <t xml:space="preserve">3BN67301AA Pack terminal Alcatel-Lucent DECT 300 incluant mobile¿ batterie¿ clip ceinture &amp; guide utilisateur (livré sans chargeur¿ sans alimentation)  </t>
  </si>
  <si>
    <t>3MG08010CE 8008 CLOUD EDITION DESKPHONE</t>
  </si>
  <si>
    <t>3BN67380AA 8244 DECT HANDSET</t>
  </si>
  <si>
    <t>3MG27006AA 48V POWER SUPPLY EUROPE (x4)</t>
  </si>
  <si>
    <t>CISCO887-K9 Cisco 887 ADSL2/2+ Annex A Router</t>
  </si>
  <si>
    <t>TP-LINK TL-SG2008P TL-SG2008PSmart Switch JetStream 8 ports Gigabit avec 4 ports PoE+</t>
  </si>
  <si>
    <t>Goulotte de sol LEGRAND 50X12</t>
  </si>
  <si>
    <t>CABLE 56X2 ARME</t>
  </si>
  <si>
    <t>BOITE DE RACCORDEMENT 22X2</t>
  </si>
  <si>
    <t>CABLE 10X2</t>
  </si>
  <si>
    <t>3EH73061AC Carte mixte analogique AMIX4/4/8-1 avec 4 lignes réseau analogiques¿ 4 ports Reflexes et 8 ports postes analogiques</t>
  </si>
  <si>
    <t>CABLE 7X2</t>
  </si>
  <si>
    <t>3EH73092AD CARTE INTERFACES ANALOGIQUES SLI4-2 (Catégorie: RPE)</t>
  </si>
  <si>
    <t>CABLE INFORMATIQUE UTP 4X2 CAT 6</t>
  </si>
  <si>
    <t>3BA53050AA Carte UA32</t>
  </si>
  <si>
    <t xml:space="preserve">3BA58020AB Câble Répartiteur Général TY1 64pts DIN 15 m pour cartes UA¿ Z¿ NDDI¿ BRA  </t>
  </si>
  <si>
    <t>3EH08337AA OMNIPCX OFFICE PREMIUM UNIT 3 -BOITIER VIDE</t>
  </si>
  <si>
    <t>3GV28133AA ALIMENTATION 4135 CA/CC UE RU US</t>
  </si>
  <si>
    <t>N102.462 LANmark-OF SC Connector Multimode Hotmelt 900µm&amp;2.8mm</t>
  </si>
  <si>
    <t>FIL GALVANISE</t>
  </si>
  <si>
    <t>Tube Orange Rigide Diamètre 13</t>
  </si>
  <si>
    <t>3EH76238AB MIX4/8/4-x BOARD</t>
  </si>
  <si>
    <t>3EH08434AA OMNIPCX OFFICE ADVANCED UNIT 1- BOITIER VIDE</t>
  </si>
  <si>
    <t>FS-108F-POE Fanless L2+ management switch with 8xGE + 2xSFP + 1xRJ45 console and automatic limited 65W POE</t>
  </si>
  <si>
    <t>CAB-SS-X21MT X21 CABLE DTE MALE TO SMART SERIAL 10 FEET</t>
  </si>
  <si>
    <t>3EH76037AA Carte accès au réseau public RNIS - 1 accès primaire T2</t>
  </si>
  <si>
    <t>Armoire 22U 600x600</t>
  </si>
  <si>
    <t xml:space="preserve">3EH73061AB Carte mixte analogique AMIX4/8/4-1 avec 4 lignes réseau analogiques¿ 8 ports Reflexes et 4 ports postes analogiques </t>
  </si>
  <si>
    <t xml:space="preserve">3EH73015AC Carte mixte RNIS / 4 T0 + 4 UAI + 8 SLI </t>
  </si>
  <si>
    <t>L30251-U600-A520/HiPath 1120 ISDN 2-Port</t>
  </si>
  <si>
    <t xml:space="preserve">3EH73005AD Carte d´équipements Reflexes - 4 équipements UA </t>
  </si>
  <si>
    <t>C1111-8P ISR 1100 8 Ports Dual GE WAN Ethernet Router, delivering 1 WAN port and 8GE LAN ports</t>
  </si>
  <si>
    <t>3MG27106AC "Premium add-on module ""s"" Moon Grey, 40 programmable keys, clip included"</t>
  </si>
  <si>
    <t>FS-108F-FPOE L2+ management switch with 8xGE + 2xSFP + 1xRJ45 console and automatic limited 130W POE</t>
  </si>
  <si>
    <t>3MG08021AA 8008G DESKPHONE SANS CABLE RJ45</t>
  </si>
  <si>
    <t xml:space="preserve">3EH76177AD Sauvegarde d´alimentation externe 12V pour OmniPCX Office Compact Edition (2 batteries, capacité jusqu¿à 8 heures)  </t>
  </si>
  <si>
    <t xml:space="preserve">3EH76155AB Boitier rack pour batteries externes 36V </t>
  </si>
  <si>
    <t>EMBOUT- GOULOTTE 105X50</t>
  </si>
  <si>
    <t>WS-C2960-48TT-S _ Catalyst 2960 48 10/100 + 2 1000BT LAN Lite Image</t>
  </si>
  <si>
    <t>CABLE INFORMATIQUE FTP 4X2 CAT 5</t>
  </si>
  <si>
    <t>CARTE NDDI</t>
  </si>
  <si>
    <t>PVDM2-32 _ 32-Channel Packet Voice/Fax DSP Module</t>
  </si>
  <si>
    <t>POSTE TEMPORIS 200</t>
  </si>
  <si>
    <t>GrandStream Poste GRP2612</t>
  </si>
  <si>
    <t>U</t>
  </si>
  <si>
    <t>CAPOT CONNECTEUR 9 PTS</t>
  </si>
  <si>
    <t>ANGLE EXTERIEUR 100x50</t>
  </si>
  <si>
    <t>ANGLE PLAT- GOULOTTE 105X50</t>
  </si>
  <si>
    <t>N123.5CLA2 LANmark-OF Patch Cord Duplex LC Duplex SC Multimode 50/125 OM3 LSZH Aqua 2m</t>
  </si>
  <si>
    <t>Goulotte 100x50 (Longueur de 2m)</t>
  </si>
  <si>
    <t>BATTERIE 12V/7AH</t>
  </si>
  <si>
    <t xml:space="preserve">3EH76034AA Caches slots (x1) </t>
  </si>
  <si>
    <t>BLOC MULTIPRISE  LEGRANG 332 36</t>
  </si>
  <si>
    <t>3EH76037AA Carte accès ISDN E1 PRA- T2 (retour RMA)</t>
  </si>
  <si>
    <t>BLOC MULTIPRISE DE 6</t>
  </si>
  <si>
    <t>BOÎTE SAILLIE 45 X 45 STI</t>
  </si>
  <si>
    <t>GRANDSTREAM UCM6302A UCM6302A No Internet Sales</t>
  </si>
  <si>
    <t>N521.661 Modular Empty patch Panel for 24 Snap-in connectors with Clip on system and shutters</t>
  </si>
  <si>
    <t>Tube Orange Annelé Diamètre 13</t>
  </si>
  <si>
    <t>CABLE LY 21 X 2</t>
  </si>
  <si>
    <t>CABLE LY 30 X 2</t>
  </si>
  <si>
    <t>CABLE LY 5 X 2</t>
  </si>
  <si>
    <t>CABLE VGV 3 X 2,5</t>
  </si>
  <si>
    <t xml:space="preserve">3EH73042AC AFU-1 Carte fille pour connexions auxilliaires </t>
  </si>
  <si>
    <t xml:space="preserve">3EH73031AE APA8 Carte d´accès réseau analogique pour 8 réseaux </t>
  </si>
  <si>
    <t>CHEVILLE EMBASE LG REF 31955</t>
  </si>
  <si>
    <t>C9300-24T-E Catalyst 9300 24-port data only, Network Essentials</t>
  </si>
  <si>
    <t>3BA23266AA eUA32 BOARD</t>
  </si>
  <si>
    <t xml:space="preserve">3BA23241AA Carte GPA2 : Conf 29 Guide parlant dynamique + statique (4 langues)  </t>
  </si>
  <si>
    <t>N890.095 LANmark-OF Splice Cassette 12 Heat Shrink Protection Snap-In Panel</t>
  </si>
  <si>
    <t xml:space="preserve">3EH73015AD Carte mixte RNIS / 2 T0 + 4 UAI + 4 SLI </t>
  </si>
  <si>
    <t xml:space="preserve">3EH73015AB Carte mixte RNIS / 4 T0 + 8 UAI + 4 SLI </t>
  </si>
  <si>
    <t xml:space="preserve">3BA23254AB Carte NPRAE-2 x accès T2  </t>
  </si>
  <si>
    <t xml:space="preserve">3BA23243AA Connecteur 10/100 Base-T  </t>
  </si>
  <si>
    <t>3MG27035AA POE KIT EUROPE</t>
  </si>
  <si>
    <t>Connecteur RJ45 Catégorie 6 Blindé</t>
  </si>
  <si>
    <t>Embout Goulotte Mosaic 50x105 LG 75612</t>
  </si>
  <si>
    <t>FUSIBLE 32A 10X38</t>
  </si>
  <si>
    <t xml:space="preserve">3EH73050AB Carte d´interface UAI16-1 : 16 interfaces numériques </t>
  </si>
  <si>
    <t>ATL1608636 POSTE TEMPORIS 500</t>
  </si>
  <si>
    <t>COLLIER COLRING 31828</t>
  </si>
  <si>
    <t>3BA53065NA Carte Z24-2</t>
  </si>
  <si>
    <t>Linksys wireless -G Acces Point With Power Over Ethernet and Range Booster Wap 200-Borne d'accés sans fil-802.11b, 802.11g</t>
  </si>
  <si>
    <t>3MG27026AA  8002/8012 POWER SUPPLY 5V EUROPE</t>
  </si>
  <si>
    <t>CONNECTEUR 25 POINTS FEMELLE</t>
  </si>
  <si>
    <t>Poste Alcatel 4028 IP TOUCH  EE Urban Grey FR (retour RMA)</t>
  </si>
  <si>
    <t>CAB-ETH-S-RJ45 Yellow Cable for Ethernet, Straight-through, RJ-45, 6 feet</t>
  </si>
  <si>
    <t>CORDONS COMBINÉS NOIRS ( IVOIRS )</t>
  </si>
  <si>
    <t>3EH02145AA OXO CONNECT COMPACT R4</t>
  </si>
  <si>
    <t>CP-7911G-CCME Bundle  IP Phone 7911 + Licence Callmanager Express</t>
  </si>
  <si>
    <t>ECROU ET VIS DE FIXATION</t>
  </si>
  <si>
    <t xml:space="preserve">3EH75031AA Kit de liaison pour sauvegarde par batterie externe </t>
  </si>
  <si>
    <t xml:space="preserve">3EH76155AA Boitier rack pour batteries externes 12V </t>
  </si>
  <si>
    <t xml:space="preserve">3EH76177AB Boîte pour batterie externe 12V pour OmniPCX Office Rack 1&amp;2  </t>
  </si>
  <si>
    <t xml:space="preserve">3EH76177AC Boîte pour batterie externe 36V pour OmniPCX Office Rack 3  </t>
  </si>
  <si>
    <t>3EH02147AA OXO CONNECT MEDIUM - 220V R4</t>
  </si>
  <si>
    <t>N102.127 Covered Patch Guide 2U White</t>
  </si>
  <si>
    <t>Cordons 2m RJ45 Cat6 certifié</t>
  </si>
  <si>
    <t>N423.540N LANmark EU Style Angled 45 x 45 Module 2 Snap-In White</t>
  </si>
  <si>
    <t>3EH75007AA MR1 MOUNTING KIT</t>
  </si>
  <si>
    <t xml:space="preserve">3EH75010AA Kit de montage en rack pour Rack2 </t>
  </si>
  <si>
    <t xml:space="preserve">3EH75001AB Kit de montage en rack pour Rack 3 </t>
  </si>
  <si>
    <t>CHEVILLES BLANCHES DE 12</t>
  </si>
  <si>
    <t>Jarretière duplex ZIP SC/SC 62,5/125um en 2m</t>
  </si>
  <si>
    <t>FG-61F-BDL-950-DD Hardware plus 24x7 FortiCare and FortiGuard Unified Threat Protection (UTP)</t>
  </si>
  <si>
    <t>SFP-10G-LR= 10GBASE-LR SFP Module</t>
  </si>
  <si>
    <t>PLAQUE BLANCHE 75002 LG</t>
  </si>
  <si>
    <t xml:space="preserve">3GV27011FB Poste Alcatel-Lucent 4019 Digital Urban Grey français¿ écran 1x20 caractères¿ navigateur 2 directions¿ écoute amplifiée¿ 6 touches programmables avec LED¿ combiné Standard </t>
  </si>
  <si>
    <t xml:space="preserve">3GV27061FB ALCATEL 4038 IP TOUCH SET URBAN GREY FR </t>
  </si>
  <si>
    <t>FIL SOUPLE DE 6mm2</t>
  </si>
  <si>
    <t>3MG08021CE 8008G CLOUD EDITION DESKPHONE</t>
  </si>
  <si>
    <t>3ML37020AB ALE-20 DUAL GE IP DESKPHONE</t>
  </si>
  <si>
    <t>PRISE COURANT PLEXO ( EUROPE</t>
  </si>
  <si>
    <t>N123.0LTO5 LANmark-OF Patch Cord Duplex LC Duplex ST OM1 LSZH 5m Orange</t>
  </si>
  <si>
    <t>ROULEAU SCOTCH NOIR</t>
  </si>
  <si>
    <t xml:space="preserve">3EH05017AA Carte fond de panier pour OmniPCX Office Rack3 2eme/3eme génération  </t>
  </si>
  <si>
    <t>SAVI W445A,U-TT,DECT,UK/EURO/AUS/NZ Réf: 203948-02</t>
  </si>
  <si>
    <t>CBS350-24T-4G-EU CBS350 Managed 24-port GE, 4x1G SFP</t>
  </si>
  <si>
    <t>CISCO887VA-K9 Cisco 887 VDSL/ADSL over POTS Multi-mode Router</t>
  </si>
  <si>
    <t>TIRE FOND DE 10</t>
  </si>
  <si>
    <t>Câble téléphonique 14P (99 14 8)</t>
  </si>
  <si>
    <t>Câble téléphonique 28P (74 28 8)</t>
  </si>
  <si>
    <t xml:space="preserve">3BA27013AB Disque dur SATA pour carte CPU ou 4635  </t>
  </si>
  <si>
    <t>Câble téléphonique 28P (99 28 8)</t>
  </si>
  <si>
    <t>Câble téléphonique 56P (74 56 8)</t>
  </si>
  <si>
    <t>CP-PWR-CORD-CE=7900 Series Transformer Power Cord, Central Europe</t>
  </si>
  <si>
    <t>ARMOIRE INFORMATIQUE  6U 600X600</t>
  </si>
  <si>
    <t>CONNECTEUR ST HOT MELT MM 125 U M</t>
  </si>
  <si>
    <t>COVER PLAT MOUNTING N 200 050</t>
  </si>
  <si>
    <t>ETAGERE 19 POUCES 600x600</t>
  </si>
  <si>
    <t>3ML27420AA ALE-400 Dual Gigabit Ethernet Enterprise Desk Phone with Cordless Handset, Dual Stack NOE-SIP, 4.3 inch 480x272 color touch display, HD Audio, 2 USB-C, WLAN-Bluetooth.Ships without Network cable.</t>
  </si>
  <si>
    <t xml:space="preserve">3BA57204AA REDRESSEUR 48V 16A </t>
  </si>
  <si>
    <t>FICHE MALE RJ 11</t>
  </si>
  <si>
    <t>LAPPING FILME 6192A</t>
  </si>
  <si>
    <t>ROULEAU SCOTCH PAPIER BEIGE</t>
  </si>
  <si>
    <t>N423.520 LANmark EU Style Angled 45 x 45 Module 1 Snap-In White _ LOCAL</t>
  </si>
  <si>
    <t>3MK27013AA ALE- 2 DESKPHONE SIP</t>
  </si>
  <si>
    <t>N123.5CCA5 LANmark-OF Patch cord duplex SC  duplex SC  OM3 LSZH 5m Aqua</t>
  </si>
  <si>
    <t>CP-7914=7914 IP Phone Expansion Module</t>
  </si>
  <si>
    <t>3MG27021AA Wireless handset Bluetooth® Black for Alcatel-Lucent 8082 My IC Phone¿ including T</t>
  </si>
  <si>
    <t>ANGLE PLAT VARIABLE 100x50</t>
  </si>
  <si>
    <t>3EH73050AB Carte UAI16-1 _MDP</t>
  </si>
  <si>
    <t>3BA23275AB ARMADA DAUGHTER BOARD</t>
  </si>
  <si>
    <t>3EH75034AA OMNIPCX CORDON SECTEUR DROIT EU</t>
  </si>
  <si>
    <t>N164.MCPE24B Câble LANmark-OS2 MC (multi tubes armée acier) 24x fibres Monomode 9/125 OS2 PE Noire</t>
  </si>
  <si>
    <t>Tiroir 19" Coulissant 1U 12 FO SC/APC G.657A2 Couleur Équipé Réf : 91 882</t>
  </si>
  <si>
    <t>COLLIER COLSON 31910</t>
  </si>
  <si>
    <t>COLLIER COLSON 31922</t>
  </si>
  <si>
    <t>Panneau FTP Cat5e 24 Ports Générique</t>
  </si>
  <si>
    <t>Adaptateur US/FR Réf : AUT001</t>
  </si>
  <si>
    <t>N165.TBUN06 LANmark-OF Tight Buffer Universal 6x Multimode 50/125 OM3 LSZH Black</t>
  </si>
  <si>
    <t>ARMOIRE INFORMATIQUE 12U 600X600</t>
  </si>
  <si>
    <t>Guide Cordon 2HU _MDP</t>
  </si>
  <si>
    <t>Coffrets de Brassage RACK SYSTEMS 18U en 600X600</t>
  </si>
  <si>
    <t>ATTACHE 7 PLASTIQUE</t>
  </si>
  <si>
    <t>CP-7961G-CCME Bundle  IP Phone 7961 + Licence Callmanager Express</t>
  </si>
  <si>
    <t>N100.164 Essential-6 U/UTP AWG24 Cat 6 LSZH Orange 500m reel</t>
  </si>
  <si>
    <t>N420.116 Essential-6 Keystone Connector Cat 6 Unscreened</t>
  </si>
  <si>
    <t>BLOC MULTIPRISE 8 2P+T</t>
  </si>
  <si>
    <t>3EH77092AB ANALOG INTERFACES SLI16-2 BOARD</t>
  </si>
  <si>
    <t>3BA00728AV  MR1 SERVER CS-2 PACK (48V)</t>
  </si>
  <si>
    <t>3EH01213AA OXO CONNECT LARGE - 150W R6 - STOCK</t>
  </si>
  <si>
    <t>Panneau UTP 5e 24 Ports générique</t>
  </si>
  <si>
    <t>N101.11EFGG Essential-6 Patch Cord Cat 6 Unscreened PVC Light Grey Boot 3m Light Grey</t>
  </si>
  <si>
    <t>N101.11EHGG Essential-6 Patch Cord Cat 6 Unscreened PVC Light Grey Boot 5m Light Grey</t>
  </si>
  <si>
    <t>C887VA-W-E-K9  Cisco 887VA VDSL2/ADSL2+ over POTS W/802.11n ETSI Comp</t>
  </si>
  <si>
    <t>CP-7945G Cisco UC Phone 7945, Gig Ethernet, Color</t>
  </si>
  <si>
    <t>SFP-10G-SR= 10GBASE-SR SFP Module</t>
  </si>
  <si>
    <t xml:space="preserve">3GV27031AB Combiné Standard pour les postes Alcatel 4019/4029 Urban grey  </t>
  </si>
  <si>
    <t xml:space="preserve">3GV27064FB POSTE 4008 IP TOUCH </t>
  </si>
  <si>
    <t>N101.12EFGG Essential-6 Patch Cord Cat 6 Screened PVC Light Grey Boot 3m Light Grey</t>
  </si>
  <si>
    <t>N500.202 Essential-5 PCB Patch Panel Unscreened 24 RJ45 Cat 5e Rear Connect White</t>
  </si>
  <si>
    <t>3MG27035AA 8082 My IC Phone POE kit EUROPE (X1)</t>
  </si>
  <si>
    <t>3BA00757AV UNITE IP DISTANTE*X-IP 48V</t>
  </si>
  <si>
    <t xml:space="preserve">3GV27002AB Module additionnel de 40 touches/icones pour les postes Alcatel-Lucent 4028/4029/4038/4039/4068¿ Urban Grey¿ avec pied¿ étiquette papier¿ connecteur </t>
  </si>
  <si>
    <t>38324-01 Cordond jack 3.5 mm /Quick</t>
  </si>
  <si>
    <t xml:space="preserve">3GV27059AC Combiné sans fil Bluetooth® Ice Blue pour poste Alcatel-Lucent IP Touch 4068¿ extended edition, incluant la batterie  </t>
  </si>
  <si>
    <t>WS-G5486= 1000BASE-LX/LH long haul GBIC (singlemode or multimode)</t>
  </si>
  <si>
    <t xml:space="preserve">3EH76181AA Chargeur rack 48V/14AH sans rectifier  </t>
  </si>
  <si>
    <t>3EH76185AA RECTIFIER 500W FOR CHARGER RACK</t>
  </si>
  <si>
    <t xml:space="preserve">3EH08336AA EXPANSION MODULE RACK 2 W/O CORD </t>
  </si>
  <si>
    <t>N100.365 LANmark-7 S/FTP AWG23 Cat 7 LSZH Orange 1000m reel</t>
  </si>
  <si>
    <t>N11G.P1B030OK LANmark-6 10G Patch Cord Cat 6 500MHz Screened LSZH 3m Orange</t>
  </si>
  <si>
    <t>3EH73050AB CARTE INTERFACES NUMERIQUES UAI16-1 (retour RMA)</t>
  </si>
  <si>
    <t>N160.023 LANmark-OF1 TB LSZH 8xMM62.5</t>
  </si>
  <si>
    <t>N420.416 connecteur snap-in cat 5e non écranté</t>
  </si>
  <si>
    <t>Badge Conducteur / DG-DMX</t>
  </si>
  <si>
    <t>Kit lecteur Identifiant Conducteur / LECT-DMX</t>
  </si>
  <si>
    <t>CP-7936/IP Conf. Station w external mic ports 7936</t>
  </si>
  <si>
    <t>Instant PoE adaptateurs</t>
  </si>
  <si>
    <t>AIR-WLC4402-25-K9/4400 Series WLAN Controller for up to 25 Lightweight APs</t>
  </si>
  <si>
    <t>3EH76185AA RECTIFIER 500W POUR CHARGEUR RACK (retour RMA)</t>
  </si>
  <si>
    <t>Cable FTP Cat.5e Non Certifié</t>
  </si>
  <si>
    <t>Point Accès UBIQUITI UAP-AC-MESH 1167 Mbps 5 2.4 GZ Réf : UAP5</t>
  </si>
  <si>
    <t>N101.11EEGG  Essential-6 Patch Cord Category 6 Unscreened PVC Light Grey Boot 2m Light Grey</t>
  </si>
  <si>
    <t>3EH73048BC CARTE GATEWAY DRIVER GD-2 (retour RMA)</t>
  </si>
  <si>
    <t>N423.645 Essential EU Style 22.5 x 45 Module 1 Keystone Flat White</t>
  </si>
  <si>
    <t>3EH73006AD CARTE ACCES T0 ISDN BRA2 (retour RMA)</t>
  </si>
  <si>
    <t>N205.619 LANmark-OF Duplex SC Snap-In Adaptor Multimode Aqua</t>
  </si>
  <si>
    <t>FS-124F FortiSwitch-124F is a performance/price competitive switch with 24x GE port + 4x SFP+ port + 1x RJ45 console. Fanless design</t>
  </si>
  <si>
    <t>FS-124F-POE L2+ managed POE switch with 24GE ports, 12 of which are POE+, 4 SFP+, max 185W limit and smart fan temperature control</t>
  </si>
  <si>
    <t>Boite Saillie Générique</t>
  </si>
  <si>
    <t>3EU27009AA BOITIER 4XV24 OVER IP (230V)</t>
  </si>
  <si>
    <t>PLANTRONICS/ Cordon U10 (cordon du vista) pour Cisco 7940/7960</t>
  </si>
  <si>
    <t>N441.203 LANmark-OF  Patch Panel Snap-In Sliding White</t>
  </si>
  <si>
    <t xml:space="preserve">3EH73092AC  Carte d`équipements postes analogiques SLI8-2 : 8 équipements analogiques </t>
  </si>
  <si>
    <t>DMXL DMx-light</t>
  </si>
  <si>
    <t>3AK17095AC ALCATEL TA MMK assembled packed sans le câble-modèle 4059</t>
  </si>
  <si>
    <t>3BA00759AA  PACK INT-IP3 (INT-IP3+10/100/1000BASE-T)</t>
  </si>
  <si>
    <t>3GV28163AA 4135 IP CONFERENCING PHONE &amp; ACCESSOIRES</t>
  </si>
  <si>
    <t>Jabra PRO 920 Mono, DECT, Téléphonie fixe, Antibruit, Réf : 920-25-508-101</t>
  </si>
  <si>
    <t xml:space="preserve">3EH73092AB Carte d`équipements postes analogiques SLI16-2 : 16 équipements analogiques </t>
  </si>
  <si>
    <t>GRANDSTREAM GXP1628</t>
  </si>
  <si>
    <t>N11A.U1F030OK LANmark-6A Ultim Patch Cord Category 6A Screened LSZH 3m</t>
  </si>
  <si>
    <t>3BA00727AA CALL SERVER BOARD EQUIPPED (CS-2)</t>
  </si>
  <si>
    <t>3EH08515AA Hard Disk for OmniPCX Office RCE Small, Medium and Large -  Hard Disk 2,5¿ &amp; SATEX board</t>
  </si>
  <si>
    <t>L30250-F600-C175/OpenStage 15 T (lava)</t>
  </si>
  <si>
    <t>N11A.U1F010OK LANmark-6A Ultim Patch Cord Category 6A Screened LSZH 1m</t>
  </si>
  <si>
    <t>Linksys X1000 Modem Routeur Adsl2 +sans fil N 300</t>
  </si>
  <si>
    <t>CAB-CONSOLE-USB Console Cable 6 ft with USB Tpe A and mini-B</t>
  </si>
  <si>
    <t>OA5710V-EU OA5710 VDSL2OPOTS WAN, BASE</t>
  </si>
  <si>
    <t>3GV27033AB SERIES 8&amp;9: CORDON COMBINE 350MM</t>
  </si>
  <si>
    <t>3ML27410AA ALE-400 IP DESKPHONE W CORDED HANDSET</t>
  </si>
  <si>
    <t>3EH73031AE CARTE JONCTEUR ANALOGIQUE APA8 (RETOUR RMA)</t>
  </si>
  <si>
    <t>N11G.P1B020OK LANmark-6 lOG patch Cord Cat 6 500MHz Screened LSZH 2m Orange</t>
  </si>
  <si>
    <t>N11G.P1B0500K LANmark-6 lOG Patch Cord Cat 6 500MHz Screened LSZH 5m Orange</t>
  </si>
  <si>
    <t>Guide câble 1U (guides cordons 1 hu)</t>
  </si>
  <si>
    <t>POSTE TEL. GIGASET DA210</t>
  </si>
  <si>
    <t>ISR4331/K9 Cisco ISR 4331 (3GE,2NIM,1SM,4G FLASH,4G DRAM,IPB)</t>
  </si>
  <si>
    <t>3EH73081AB CALL SERVER 1GB BOARD (CS-3)</t>
  </si>
  <si>
    <t>CAB-CONSOLE-RJ45 Console Cable 6 ft with USB Tpe A and mini-B</t>
  </si>
  <si>
    <t>PRISE SIMPLE SUR SAILLIE</t>
  </si>
  <si>
    <t>3EH76238AD MIX2/4/4-x BOARD</t>
  </si>
  <si>
    <t>3ML27510AA ALE-500 IP DESKPHONE W CORDED HANDSET</t>
  </si>
  <si>
    <t>Fil de terre TH 6mm Vert/Jaune</t>
  </si>
  <si>
    <t>Switch 8 ports simple Huawei S1700-8-AC</t>
  </si>
  <si>
    <t>Switch 48 ports simple S1700-52FR-2T2P-AC</t>
  </si>
  <si>
    <t>N205.628 Traversée Snap-in LANmark-OF SM APC LC-LC Duplex</t>
  </si>
  <si>
    <t>N116.P1A020DK-LANmark-6-Patch-Cord-Cat-6- Unscreened-LSZH-2m-Grey</t>
  </si>
  <si>
    <t>N420.735 LANmark-7A GG45 12C Snap-In Connector Cat 7A Screened</t>
  </si>
  <si>
    <t>Switch TP Link 16 ports</t>
  </si>
  <si>
    <t>FS-124F-FPOE L2+ managed POE switch with 24GE + 4SFP+, 24port POE with max 370W limit and smart fan temperature control</t>
  </si>
  <si>
    <t>Jabra 2406-820-804 Jabra BIZ¿ 2400 Mono NOUVELLE GENERATION 3-in-1 Perche micro flex, micro 82 E-STD Antibruit</t>
  </si>
  <si>
    <t>TLWA7510N 5GHz 150Mbps Outdoor Wireless Access Point TL WA7510N</t>
  </si>
  <si>
    <t>TLPOE150S TP LINK TL POE150S PoE Injector</t>
  </si>
  <si>
    <t>TLMR3420 TP LINK TL MR3420 3G/4G Wireless N Router</t>
  </si>
  <si>
    <t>3EH08334AA KIT SURALIMENTEUR UAI16-1 SANS CABLE</t>
  </si>
  <si>
    <t>3EH73096AB MIXED MIX4/8/4-2 BOARD</t>
  </si>
  <si>
    <t>3BA23274AB CARTE INT-IP3</t>
  </si>
  <si>
    <t>3BA23265AD CARTE eZ32-2</t>
  </si>
  <si>
    <t>MicroIPBX Doro IP 500</t>
  </si>
  <si>
    <t>Cordon pour GN Netcom 9350 Réf : JABRA 14201-20</t>
  </si>
  <si>
    <t>OA5710V-H+-EU OA5710V ESR with 3.7G for Worldwide HSPA+ at 850/900/1900/2100 MHz, fallback to EDGE/GPRS 850/900/1800/1900 MHz</t>
  </si>
  <si>
    <t>Panneau de Brassage 24 Ports FTP Cat.6</t>
  </si>
  <si>
    <t>Cordon de Brassage FTP RJ45, Cat.6 de 3 mètres</t>
  </si>
  <si>
    <t>Cordon de Brassage FTP RJ45, Cat.6 de 1 mètre</t>
  </si>
  <si>
    <t>3BN67342AB 8242 DECT HANDSET</t>
  </si>
  <si>
    <t>3EH76031AD SATA HARD DISK FOR CS-2</t>
  </si>
  <si>
    <t>FG-50E FortiGate-50E - 7 x GE RJ45 ports (Including 2 x WAN port, 5 x Switch ports), Max managed FortiAPs (Total / Tunnel) 10 / 5</t>
  </si>
  <si>
    <t>FG-TRAN-SFP+SR SFP+ Transceiver Module</t>
  </si>
  <si>
    <t>JEU DE 2 MONTANTS 19P 24U LINK 646340</t>
  </si>
  <si>
    <t>PRISE DOUBLE COMPLETE SUR GOULOTTE</t>
  </si>
  <si>
    <t>PRISE SIMPLE  COMPLETE SUR GOULOTTE</t>
  </si>
  <si>
    <t>ANGLE INTERIEUR VARIABLE</t>
  </si>
  <si>
    <t>Switch de 08 ports 10/100</t>
  </si>
  <si>
    <t>Grillage avertisseur vert (en m)</t>
  </si>
  <si>
    <t>3MG27105AB 10 KEYS PREMIUM MODULE</t>
  </si>
  <si>
    <t>Goulotte 60x40 (Longueur de 2m)</t>
  </si>
  <si>
    <t>Angle Intérieur 60x40</t>
  </si>
  <si>
    <t>H6J66A HP 42U 600x1075 Advanced Shock Rack</t>
  </si>
  <si>
    <t>CP-7821-K9= Cisco UC Phone 7821</t>
  </si>
  <si>
    <t>C9115AXI-E Cisco Catalyst 9115AX Series</t>
  </si>
  <si>
    <t>Goulotte 40x16 (Longueur 2m)</t>
  </si>
  <si>
    <t>902-0162-EU00 Alimentation 230VAC et POE GbE 21W pour 70x5/73xx/7731/79x2/H500/Rxx0/T30x</t>
  </si>
  <si>
    <t>033590 PANN. A EQUIPER LCS</t>
  </si>
  <si>
    <t>046554 BLOC ALIM 19P 6X2P+T</t>
  </si>
  <si>
    <t>Armoire 18U 624264</t>
  </si>
  <si>
    <t>cable 24 fibre optique OM3</t>
  </si>
  <si>
    <t>FS-148F-FPOE FortiSwitch-148F-FPOE is a performance/price competitive L2+ management switch with 48x GE port + 4x SFP+ port + 1x RJ45 console. Port 1- 48 are POE</t>
  </si>
  <si>
    <t>LaNmark -Of Patchcord Multimode  62.5/125/3mm   2ST-2ST  N123.OTT02</t>
  </si>
  <si>
    <t>N115.P1B050OU LANmark-5 Patch Cord Category 5e Screened PVC 5m  Orange</t>
  </si>
  <si>
    <t>3EH76190AA RACK CHARGER FOR 2x 1kW POWER SUPPLY</t>
  </si>
  <si>
    <t>3EH73100AC VoIP64 daughterboard - 64 VoIP channels</t>
  </si>
  <si>
    <t>3EH08439AA MODULE D'EXTENSION RACK 3</t>
  </si>
  <si>
    <t>soundstation IP6000 Réf : 2200-15660-122</t>
  </si>
  <si>
    <t>Tuyau PVC Evacuation Diamètre 63</t>
  </si>
  <si>
    <t>Coude PVC Evacuation 1/8 (45*) Diam 63</t>
  </si>
  <si>
    <t>AIR-AP3802I-E-K9 802.11ac Wave 2 AP w/CleanAir, 4x4:3, Mod, Internal Antenna, mGig, E Regulatory Domain</t>
  </si>
  <si>
    <t>032603 CORDON SC/LC 9/125MICRON 1M</t>
  </si>
  <si>
    <t>3MG27205WW 8078S PREMIUM IP DESKPHONE IN BLACK</t>
  </si>
  <si>
    <t>Jabra Casque-Micro BIZ 2300 Duo version USB Réf: 2399-829-109</t>
  </si>
  <si>
    <t>Cordon pour gamme IP Touch Réf: JABRA 8735-019</t>
  </si>
  <si>
    <t>FN-TRAN-SFP+SR 10GE SFP+ transceiver module short range for all systems with SFP+ a</t>
  </si>
  <si>
    <t>EncorePro 320, EP320 QD, WW Réf : 214573-01</t>
  </si>
  <si>
    <t>X2-10GB-LR= 10GBASE-LR X2 Module</t>
  </si>
  <si>
    <t>AIR-AP1562I-E-K9 802.11ac W2 Low-Profile Outdoor AP, Internal Ant, E Reg Dom.</t>
  </si>
  <si>
    <t>OAG6040 GOULOTTE 60X40 (m)</t>
  </si>
  <si>
    <t>OAIN6040 ANGLE INTERIEUR VARIABLE</t>
  </si>
  <si>
    <t>OAEX6040 ANGLE EXTERIEUR VARIABLE</t>
  </si>
  <si>
    <t>OAPL6040 ANGLE PLAT VARIABLE</t>
  </si>
  <si>
    <t>OAEM6040 EMBOUT</t>
  </si>
  <si>
    <t>OA5710V-4G-EU OA5710V ESR with 4G/LTE for Global LTE at 800/900/1800/2100/2600 MHz, fallback to OA5710V ESR with 4G/LTE for Global LTE a</t>
  </si>
  <si>
    <t>FG-50E-BDL FortiGate-50E Hardware plus 1 Year 8x5 FortiCare and FortiGuard UTM B</t>
  </si>
  <si>
    <t>AIR-CAP3702I-E-K9 802.11ac Ctrlr AP 4x4:3SS w/CleanAir; Int Ant; E Reg Domain</t>
  </si>
  <si>
    <t>EHWIC-1GE-SFP-CU= EHWIC 1 port dual mode SFP(100M/1G) or GE(10M/100M/1G) Spare</t>
  </si>
  <si>
    <t>3MG27109AA BLUETOOTH HANDSET</t>
  </si>
  <si>
    <t>FAP-23JF-E Wall Plate AP - Tri-radio (802.11 b/g/n/ax 2x2 MU-MIMO and 802.11 a/n/ac/ax 2x2 MU-MIMO), internal antennas, 4 x</t>
  </si>
  <si>
    <t>GPI-115 GPI-115 Gigabit PoE Injector</t>
  </si>
  <si>
    <t>CABLE SERIE 74/14P/6 (m)</t>
  </si>
  <si>
    <t>3BA27056AA SDRAM 256 MB: 256 MB memory card for CPU7/CPU7-2</t>
  </si>
  <si>
    <t>N115.P2A200DU(LANmark-5 Patch Cord Cat 5e Unscreened PVC 20m Grey</t>
  </si>
  <si>
    <t>3MG27209AA WIDE BAND BLUETOOTH® HANDSET</t>
  </si>
  <si>
    <t>N102.118 Armoire informatique 18U  Nexans</t>
  </si>
  <si>
    <t>N420.66A LANmark-6A Evo Snap-In Connector Cat 6A Screened</t>
  </si>
  <si>
    <t>N11A.U1F010DK LANmark-6A Ultim Patch Cord Category 6A Screened LSZH 1m</t>
  </si>
  <si>
    <t>N11A.U1F030DK LANmark-6A Ultim Patch Cord Category 6A Screened LSZH 3m</t>
  </si>
  <si>
    <t>OAEX6040  ANGLE EXTERIEUR VARIABLE</t>
  </si>
  <si>
    <t>GRANDSTREAM GXP1615</t>
  </si>
  <si>
    <t>FG-100F-BDL-950-12 Hardware plus 24x7 FortiCare and FortiGuard Unified Threat Protection (UTP)</t>
  </si>
  <si>
    <t>JEU DE 2 MONTANTS 19P 42U LINK LG : 646342</t>
  </si>
  <si>
    <t>BAIE LINKEO2 42U 8X8 A PLAT LG : 646789</t>
  </si>
  <si>
    <t>Prise Informatique Simple RJ45 Cat.6</t>
  </si>
  <si>
    <t>C3850-NM-4-1G= Cisco Catalyst 3850 4 x 1GE Network Module</t>
  </si>
  <si>
    <t>ISR4321/K9 Cisco ISR 4321 (2GE,2NIM,4G FLASH,4G DRAM,IPB)</t>
  </si>
  <si>
    <t>Câble HDMI de 10m</t>
  </si>
  <si>
    <t>Convertisseur VGA ¿ HDMI</t>
  </si>
  <si>
    <t>3MG27207FR    "8078s FR Premium Deskphone BT Moon Grey, 5"" 800x480 Capacitive Color display</t>
  </si>
  <si>
    <t>FG-30E-BDL FortiGate-30E Hardware plus 1 year 8x5 Forticare and FortiGuard UTM B</t>
  </si>
  <si>
    <t>N205.617 LANmark-OF Duplex LC Snap-In Adaptor Multimode Aqua</t>
  </si>
  <si>
    <t>N439.4SNB       LANmark-OF Patch Panel Snap-In Sliding Black</t>
  </si>
  <si>
    <t>3BA27056AC SDRAM 512MB CPU7-2              </t>
  </si>
  <si>
    <t>Combiné 8212 DECT - Comprend batterie, chargeur de bureau et alimentation Europe 3BN67335AA</t>
  </si>
  <si>
    <t>Angle extérieur 100x45</t>
  </si>
  <si>
    <t>Coffret informatique 9U x 600 x 400</t>
  </si>
  <si>
    <t>Tiroir optique 24 ports SC</t>
  </si>
  <si>
    <t>PTO ONE 1FO avec raccord et pigtail SC/APC Réf : 90 908</t>
  </si>
  <si>
    <t>Jarretière fibre optique LC/ST (3m) multimode 50/125 µm</t>
  </si>
  <si>
    <t>Alcatel-Lucent OmniTouch 8128 WLAN Handset</t>
  </si>
  <si>
    <t>Desktop charger Europe for Alcatel-Lucent OmniTouch 8118 and 8128</t>
  </si>
  <si>
    <t>3ML37020AA ALE-20H HYBRID DIGITAL IP DESKPHONE</t>
  </si>
  <si>
    <t>armoire 42U 800x800</t>
  </si>
  <si>
    <t>N11A.U1F050OK LANmark-6A Ultim Patch Cord Cat 6A Screened LSZH 5m Orange</t>
  </si>
  <si>
    <t>N521.664BK LANmark Patch Panel 24 Snap-In Black</t>
  </si>
  <si>
    <t>C886VA-K9 Cisco 880 Series Integrated Services Routers</t>
  </si>
  <si>
    <t>3BN07004AA 8212 DECT HANDSET WITH CHARGER + PSU EU</t>
  </si>
  <si>
    <t>3BA00834AV MR1 SERVER CS-3 PACK (48V)  </t>
  </si>
  <si>
    <t>C1111-4P is the ISR 1100 4 Ports Dual GE WAN Ethernet Router, delivering 1 WAN port and 4GE LAN ports</t>
  </si>
  <si>
    <t>3BN78403AA CHARGEUR DE BUREAU OT 8118 &amp; 8128 EUROPE</t>
  </si>
  <si>
    <t>Plastron pour prise double</t>
  </si>
  <si>
    <t>Tube orange rigide diamétre 9 (en m)</t>
  </si>
  <si>
    <t>N122.5CLA25 LANmark-OF Slimflex Patch Cord DSC-DLC OM3 LSZH 25m Aqua       </t>
  </si>
  <si>
    <t>88828-02 ENCOREPRO HW540 E&amp;A     </t>
  </si>
  <si>
    <t>C9200-NM-4X= Catalyst 9200 4 x 10G Network Module</t>
  </si>
  <si>
    <t>Prise complète saillie FTP Cat6</t>
  </si>
  <si>
    <t>3MG27206FR 8068S BT PREMIUM DESKPHONE FR                    </t>
  </si>
  <si>
    <t>angle int 100x45</t>
  </si>
  <si>
    <t>Cloison de séparation(m)</t>
  </si>
  <si>
    <t>embout 100x45</t>
  </si>
  <si>
    <t>goulotte ingelec 100x45( m)</t>
  </si>
  <si>
    <t>NIM-1MFT-T1/E1 1 port Multiflex Trunk Voice/Clear-channel Data T1/E1 Module</t>
  </si>
  <si>
    <t>CP-3905-PWR-CE=Power Adapter for Cisco Unified SIP Phone 3905, Europe</t>
  </si>
  <si>
    <t>Cordon jack Easy Disconnect prise appel auto Alcatel 40xxx series / IP TOUCH Réf: SEN-502334 CALC01:</t>
  </si>
  <si>
    <t>Micro casque filaire SC 260, double écouteur XXL, Réf : SEN-504402</t>
  </si>
  <si>
    <t>N122.5CCA2    LANmark-OF Slimflex Patch Cord DSC-DSC OM3 LSZH 2m</t>
  </si>
  <si>
    <t>Poste Temporis 380 noir Réf : ATL1407518</t>
  </si>
  <si>
    <t>3EH01139AB OXO CONNECT C25 PACK 4T/8D/4A R2 (x10)               </t>
  </si>
  <si>
    <t>3EH01139AC OXO CONNECT C25 PACK 4T/4D/8A R2 (x10)              </t>
  </si>
  <si>
    <t>3EH01140AB OXO CONNECT C25 PACK 4AT/8D/4A R2 (x10) </t>
  </si>
  <si>
    <t>3EH01140AC OXO CONNECT C25 PACK 4AT/4D/8A R2 (x10)            </t>
  </si>
  <si>
    <t>3EH73013AB CARTE FILLE SLANX4</t>
  </si>
  <si>
    <t>3BA28041FB IP ATTENDANT 4059EE PACK FRENCH</t>
  </si>
  <si>
    <t>3AK21492AA CABLE RJ45/RJ45-3M (DROIT)        </t>
  </si>
  <si>
    <t>Poste Alcatel T76CE Black Réf: ATL1413755</t>
  </si>
  <si>
    <t>Poste Gigaset S650H PRO Noir, Bluetooth, prise jack 2.5, main libre, usb</t>
  </si>
  <si>
    <t>Point Accès UBIQUITI UniFi AC PRO Réf : UAP-AC-PRO-E</t>
  </si>
  <si>
    <t>CABLE EXT DOUBLE GAINE G657A2  1F0 NOIR</t>
  </si>
  <si>
    <t>ISR4221/K9 Cisco ISR 4221 (2GE,2NIM,4G FLASH,4G DRAM,IPB)</t>
  </si>
  <si>
    <t>OS6350-24-EU VALUE 24P 10/100/1000 - EU CORD</t>
  </si>
  <si>
    <t>OS2220-24-EU WebSmart 24p - EU cord</t>
  </si>
  <si>
    <t>3MG08005AA 8001 POWER SUPPLY 5V EUROPE</t>
  </si>
  <si>
    <t>Filin de tirage nylon monoline  diamètre 3 (couronne de 500 m)</t>
  </si>
  <si>
    <t>AP-MNT-OUT SPARE, OAW-AP125X OUTDOOR MOUNT KIT</t>
  </si>
  <si>
    <t>SP-W2M-AC1200-POE-WW - Point d'accès d'Entreprise intérieur IgniteNet Spark¿ Wave2 Mini AC1200 - 802.11ac 1200 Mbps - double-bande 2,4 (25 dBm) et 5Ghz (23 dBm) - PoE 802.3af</t>
  </si>
  <si>
    <t>SF-AC1200-2-EU - AP/PTP/PTmP Extérieur IgniteNet SkyFire¿AC1200 - 802.11ac 1200 Mbps - 2,4 (30 dBm) et 5 Ghz (28 dBm) - Antennes 2,4 (7dBm - omni) et 5GHz (15dBm - directive 30º) intégrées - in</t>
  </si>
  <si>
    <t>3BN67330AB 8232s DECT Handset, contains battery and Belt clip</t>
  </si>
  <si>
    <t>PVDM4-32 32-channel DSP module</t>
  </si>
  <si>
    <t>ATL1412833 Alcatel Conference IP1850 SIP CE</t>
  </si>
  <si>
    <t>ATL1410037 Alcatel Conference 1800 noir</t>
  </si>
  <si>
    <t>ATLC1415520 Alcatel S250 ECE noir</t>
  </si>
  <si>
    <t>Micro casque sans fil DECT Plantronics CS 540 Réf : PLANTRONICS 84693-02</t>
  </si>
  <si>
    <t>3BA00760AC    PACK INT-IP3 120        </t>
  </si>
  <si>
    <t>3BN77020BA    8379 DECT IBS INTEGRATED ANTENNAS</t>
  </si>
  <si>
    <t>3BA23258AB    CPU8 BOARD  </t>
  </si>
  <si>
    <t>3BA27013AD    DISK DRIVE FOR CPU8 / CS-3</t>
  </si>
  <si>
    <t>3ML37030AA ALE-30H HYBRID DIGITAL IP DESKPHONE</t>
  </si>
  <si>
    <t>3MG27205FR    8078S PREMIUM DESKPHONE FR</t>
  </si>
  <si>
    <t>3MG27218FR    8029S PREMIUM DESKPHONE FR</t>
  </si>
  <si>
    <t>3MG27219FR    8039S PREMIUM DESKPHONE FR</t>
  </si>
  <si>
    <t>3MG27127AA 8088 BT SMART DESKPHONE V3</t>
  </si>
  <si>
    <t>Postes GRP2612P</t>
  </si>
  <si>
    <t>Postes GXV3350</t>
  </si>
  <si>
    <t>3BA00835AA PCS CS-3 BOARD EQUIPPED</t>
  </si>
  <si>
    <t>Goulotte Mosaic 50x100  LG : 638030 (en longueur)</t>
  </si>
  <si>
    <t>Angle Intérieur Goulotte Mosaic 50x100          LG : 638031</t>
  </si>
  <si>
    <t>Angle Extérieur Goulotte Mosaic 50x100         LG : 638032</t>
  </si>
  <si>
    <t>Embout Goulotte Mosaic 50x100                     LG : 638035</t>
  </si>
  <si>
    <t>3BN67331AB 8232-8242 DECT HANDSET DESKTOP CHARGER    </t>
  </si>
  <si>
    <t>PLANTRONICS 208769-01 Voyager 8200 UC,B8200,Black,WW</t>
  </si>
  <si>
    <t>Goulotte à colle 25x16</t>
  </si>
  <si>
    <t>N100.624-OD = Câble F1/UTP LANmark-6 Catégorie 6 AWG24 350MHz LSZH Dca s2 d1 a1  Orange 4 paires 500m</t>
  </si>
  <si>
    <t>N122.5LLA20 Cordon LANmark-OF Slimflex Duplex  DLC-DLC OM3 LSZH 20m Aqua</t>
  </si>
  <si>
    <t>N500.206 Essential-5 PCB Patch Panel Unscreened 24 RJ45 Cat 5e Rear Connect Black</t>
  </si>
  <si>
    <t>N121.5TCA Pigtail LANmark-OF SC OM3 Tight Buffer LSZH 50/125 1m Aqua</t>
  </si>
  <si>
    <t>N122.5CLA5     Cordon LANmark-OF Slimflex Duplex  DSC-DLC OM3 LSZH 5m Aqua</t>
  </si>
  <si>
    <t>3BN67160AA 4070IA RBS INTERNE EUROPE</t>
  </si>
  <si>
    <t>3MG27221AA 8019s Deskphone Moon Grey, 64x128 backlit black   white LCD, 6 Softkeys, 4 programmable keys with Led   Paper Label, Handsfree, Comfort handset, Jack 3,5 mm 4 poles</t>
  </si>
  <si>
    <t>Cable FTP  20m CAT 5</t>
  </si>
  <si>
    <t>3BA26274AB POWER SUPPLY 110V/500W - 230V/1000W</t>
  </si>
  <si>
    <t>3BA27305AB PSC RECTIFIER CABINET</t>
  </si>
  <si>
    <t>3BA57076AA BATTERIE 48V/38AH</t>
  </si>
  <si>
    <t>N100.164-OE Es6 UTP AW24 Cat6 LSZH E Ora 500 rl</t>
  </si>
  <si>
    <t>603857 NORMACLIPALU BL</t>
  </si>
  <si>
    <t>Poste gigaset AS470</t>
  </si>
  <si>
    <t>N100.692G-OD Câble F/FTP LANmark-6A AWG23 Catégorie 6A AWG23 LSZH Dca s2 d1 a1 Orange 4 paires 1000m</t>
  </si>
  <si>
    <t>638033 ANGLE PLAT 100X50 MM  </t>
  </si>
  <si>
    <t>SAVI W8210/A,SAVI 3IN1,OTH MON,UC,DECT,EMEA Réf: 207309-12</t>
  </si>
  <si>
    <t>CS-100 Huddle set, certified in line with EU wireless requirements Réf: R9861510HEU</t>
  </si>
  <si>
    <t>C1117-4PWE ISR 1100 4P DSL Annex A w/ 802.11ac -E WiFi</t>
  </si>
  <si>
    <t>VOYAGER 5200 OFFICE,2-WAY BASE,USB-A CABLE,EMEA Réf:  212732-05</t>
  </si>
  <si>
    <t>Entera HW121N/A Binaural micro PLANTRONICS Réf: 79181-13</t>
  </si>
  <si>
    <t>3EH73096AD MIXED MIX2/4/4-2 BOARD</t>
  </si>
  <si>
    <t>GRANDSTREAM GXP1630</t>
  </si>
  <si>
    <t>FG-60F-BDL-950-DD Hardware plus 24x7 FortiCare and FortiGuard Unified Threat Protection (UTP)</t>
  </si>
  <si>
    <t>N100.491-OD LANmark-5 F1/UTP AWG24 Cat 5e 155MHz LSZH Dca s2 d2 a1 Orange 305m box</t>
  </si>
  <si>
    <t>3BA00827AA       OXE BASIC PACK - CS-3/GD3/1xMR3-230V</t>
  </si>
  <si>
    <t>3BN77020DA 8379 DECT IBS Outdoor Base station, supplied with external antennas, world wide base station</t>
  </si>
  <si>
    <t>N100.365 LANmark-7 S/FTP AWG23 Cat 7 LSZH Orange 1000m reel_ LOCAL</t>
  </si>
  <si>
    <t>3MG27112AB 8088 BT SMART DESKPHONE V2</t>
  </si>
  <si>
    <t>BAIE LINKEO2 47U 8X10 A PLAT Réf.: 646799</t>
  </si>
  <si>
    <t>Cisco ISR 4321 Bundle, w/UC License ISR4321-V/K9</t>
  </si>
  <si>
    <t>Goulotte de sol 92x20mm Réf : LEGRAND 32800 </t>
  </si>
  <si>
    <t>Angles plats pour goulotte 100*45</t>
  </si>
  <si>
    <t>3MJ37001AA  OXO CONNECT EVOLUTION</t>
  </si>
  <si>
    <t>Prise complète double 2 RJ45 avec boite</t>
  </si>
  <si>
    <t>SUPPORT PRISE SUR GOULOTTE</t>
  </si>
  <si>
    <t>FortiGate-40F Hardware plus 1 Year 24x7 FortiCare and FortiGuard Unif FG-40F-BDL-950-12</t>
  </si>
  <si>
    <t>ETIQUETTE RECTANGULAIRE VERTE / 100</t>
  </si>
  <si>
    <t>FG-71F-BDL-950-12 Hardware plus FortiCare Premium and FortiGuard Unified Threat Protection (UTP)</t>
  </si>
  <si>
    <t>FAP-23JF-I Wall Plate AP - Tri-radio (802.11 b/g/n/ax 2x2 MU-MIMO and 802.11 a/n/ac/ax 2x2 MU-MIMO), internal antennas,</t>
  </si>
  <si>
    <t>FAP-431F-I Indoor Wireless FortiAP - Tri radio (2x 802.11 a/b/g/n/ac/ax, 4x4 MIMO and 1x 802.11 a/b/g/n/ac Wave 2,</t>
  </si>
  <si>
    <t>3EH77084AE GATEWAY DRIVER BOARD (GD-3)</t>
  </si>
  <si>
    <t>3EH77005AC DIGITAL INTERFACES UAI8 BOARD</t>
  </si>
  <si>
    <t>IdeaHub ES2_86inch</t>
  </si>
  <si>
    <t>IdeaHub Controller</t>
  </si>
  <si>
    <t>Dispo</t>
  </si>
  <si>
    <t>Rufisque</t>
  </si>
  <si>
    <t>TOTAL</t>
  </si>
  <si>
    <t>CUMP</t>
  </si>
  <si>
    <t>Valeur</t>
  </si>
  <si>
    <t>FAS à appliquer</t>
  </si>
  <si>
    <t>Famille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</si>
</sst>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##0_-;\-* #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164" fontId="18" fillId="33" borderId="10" xfId="42" applyNumberFormat="1" applyFont="1" applyFill="1" applyBorder="1" applyAlignment="1">
      <alignment horizontal="center" vertical="center"/>
    </xf>
    <xf numFmtId="0" fontId="19" fillId="0" borderId="10" xfId="0" applyFont="1" applyBorder="1"/>
    <xf numFmtId="0" fontId="20" fillId="0" borderId="10" xfId="0" applyFont="1" applyBorder="1" applyAlignment="1">
      <alignment horizontal="center"/>
    </xf>
    <xf numFmtId="0" fontId="20" fillId="0" borderId="10" xfId="0" applyFont="1" applyBorder="1"/>
    <xf numFmtId="0" fontId="19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xt_gueye004998/Downloads/fnd_gfm_43298102.tsv" TargetMode="External"/><Relationship Id="rId2" Type="http://schemas.openxmlformats.org/officeDocument/2006/relationships/externalLinkPath" Target="file:///C:\Users\ext_gueye004998\Downloads\fnd_gfm_43298102.tsv" TargetMode="External"/><Relationship Id="rId1" Type="http://schemas.openxmlformats.org/officeDocument/2006/relationships/externalLinkPath" Target="/Users/ext_gueye004998/Downloads/fnd_gfm_43298102.tsv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xt_gueye004998/AppData/Local/Microsoft/Windows/INetCache/Content.Outlook/I0V3SFR2/CUMP%20Articles%2007_11_2025.xlsx" TargetMode="External"/><Relationship Id="rId2" Type="http://schemas.openxmlformats.org/officeDocument/2006/relationships/externalLinkPath" Target="file:///C:\Users\ext_gueye004998\AppData\Local\Microsoft\Windows\INetCache\Content.Outlook\I0V3SFR2\CUMP%20Articles%2007_11_2025.xlsx" TargetMode="External"/><Relationship Id="rId1" Type="http://schemas.openxmlformats.org/officeDocument/2006/relationships/externalLinkPath" Target="/Users/ext_gueye004998/AppData/Local/Microsoft/Windows/INetCache/Content.Outlook/I0V3SFR2/CUMP%20Articles%2007_11_2025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xt_gueye004998/Desktop/Etat%20valo%20stocks%20au%2003%20Avril%202026.xlsx" TargetMode="External"/><Relationship Id="rId2" Type="http://schemas.openxmlformats.org/officeDocument/2006/relationships/externalLinkPath" Target="file:///C:\Users\ext_gueye004998\Desktop\Etat%20valo%20stocks%20au%2003%20Avril%202026.xlsx" TargetMode="External"/><Relationship Id="rId1" Type="http://schemas.openxmlformats.org/officeDocument/2006/relationships/externalLinkPath" Target="/Users/ext_gueye004998/Desktop/Etat%20valo%20stocks%20au%2003%20Avril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xt_gueye004998/Downloads/fnd_gfm_43298103.tsv" TargetMode="External"/><Relationship Id="rId2" Type="http://schemas.openxmlformats.org/officeDocument/2006/relationships/externalLinkPath" Target="file:///C:\Users\ext_gueye004998\Downloads\fnd_gfm_43298103.tsv" TargetMode="External"/><Relationship Id="rId1" Type="http://schemas.openxmlformats.org/officeDocument/2006/relationships/externalLinkPath" Target="/Users/ext_gueye004998/Downloads/fnd_gfm_43298103.t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nd_gfm_43298102"/>
    </sheetNames>
    <sheetDataSet>
      <sheetData sheetId="0">
        <row r="1">
          <cell r="B1" t="str">
            <v>Article</v>
          </cell>
          <cell r="C1" t="str">
            <v>Magasin</v>
          </cell>
          <cell r="D1" t="str">
            <v>Ver.</v>
          </cell>
          <cell r="E1" t="str">
            <v>UdM</v>
          </cell>
          <cell r="F1" t="str">
            <v>Qté en stock</v>
          </cell>
        </row>
        <row r="2">
          <cell r="B2">
            <v>11</v>
          </cell>
          <cell r="C2" t="str">
            <v>DISPO</v>
          </cell>
          <cell r="E2" t="str">
            <v>PCE</v>
          </cell>
          <cell r="F2">
            <v>2</v>
          </cell>
        </row>
        <row r="3">
          <cell r="B3">
            <v>15</v>
          </cell>
          <cell r="C3" t="str">
            <v>DISPO</v>
          </cell>
          <cell r="E3" t="str">
            <v>PCE</v>
          </cell>
          <cell r="F3">
            <v>1</v>
          </cell>
        </row>
        <row r="4">
          <cell r="B4">
            <v>18</v>
          </cell>
          <cell r="C4" t="str">
            <v>DISPO</v>
          </cell>
          <cell r="E4" t="str">
            <v>PCE</v>
          </cell>
          <cell r="F4">
            <v>52</v>
          </cell>
        </row>
        <row r="5">
          <cell r="B5">
            <v>19</v>
          </cell>
          <cell r="C5" t="str">
            <v>DISPO</v>
          </cell>
          <cell r="E5" t="str">
            <v>PCE</v>
          </cell>
          <cell r="F5">
            <v>1</v>
          </cell>
        </row>
        <row r="6">
          <cell r="B6">
            <v>38</v>
          </cell>
          <cell r="C6" t="str">
            <v>DISPO</v>
          </cell>
          <cell r="E6" t="str">
            <v>PCE</v>
          </cell>
          <cell r="F6">
            <v>15</v>
          </cell>
        </row>
        <row r="7">
          <cell r="B7">
            <v>236</v>
          </cell>
          <cell r="C7" t="str">
            <v>DISPO</v>
          </cell>
          <cell r="E7" t="str">
            <v>PCE</v>
          </cell>
          <cell r="F7">
            <v>732</v>
          </cell>
        </row>
        <row r="8">
          <cell r="B8">
            <v>251</v>
          </cell>
          <cell r="C8" t="str">
            <v>DISPO</v>
          </cell>
          <cell r="E8" t="str">
            <v>PCE</v>
          </cell>
          <cell r="F8">
            <v>1011</v>
          </cell>
        </row>
        <row r="9">
          <cell r="B9">
            <v>259</v>
          </cell>
          <cell r="C9" t="str">
            <v>DISPO</v>
          </cell>
          <cell r="E9" t="str">
            <v>PCE</v>
          </cell>
          <cell r="F9">
            <v>4242</v>
          </cell>
        </row>
        <row r="10">
          <cell r="B10">
            <v>304</v>
          </cell>
          <cell r="C10" t="str">
            <v>DISPO</v>
          </cell>
          <cell r="E10" t="str">
            <v>PCE</v>
          </cell>
          <cell r="F10">
            <v>8</v>
          </cell>
        </row>
        <row r="11">
          <cell r="B11">
            <v>307</v>
          </cell>
          <cell r="C11" t="str">
            <v>DISPO</v>
          </cell>
          <cell r="E11" t="str">
            <v>PCE</v>
          </cell>
          <cell r="F11">
            <v>3</v>
          </cell>
        </row>
        <row r="12">
          <cell r="B12">
            <v>321</v>
          </cell>
          <cell r="C12" t="str">
            <v>DISPO</v>
          </cell>
          <cell r="E12" t="str">
            <v>PCE</v>
          </cell>
          <cell r="F12">
            <v>7900</v>
          </cell>
        </row>
        <row r="13">
          <cell r="B13">
            <v>361</v>
          </cell>
          <cell r="C13" t="str">
            <v>DISPO</v>
          </cell>
          <cell r="E13" t="str">
            <v>PCE</v>
          </cell>
          <cell r="F13">
            <v>17</v>
          </cell>
        </row>
        <row r="14">
          <cell r="B14">
            <v>472</v>
          </cell>
          <cell r="C14" t="str">
            <v>DISPO</v>
          </cell>
          <cell r="E14" t="str">
            <v>PCE</v>
          </cell>
          <cell r="F14">
            <v>41</v>
          </cell>
        </row>
        <row r="15">
          <cell r="B15">
            <v>481</v>
          </cell>
          <cell r="C15" t="str">
            <v>DISPO</v>
          </cell>
          <cell r="E15" t="str">
            <v>PCE</v>
          </cell>
          <cell r="F15">
            <v>5000</v>
          </cell>
        </row>
        <row r="16">
          <cell r="B16">
            <v>527</v>
          </cell>
          <cell r="C16" t="str">
            <v>DISPO</v>
          </cell>
          <cell r="E16" t="str">
            <v>PCE</v>
          </cell>
          <cell r="F16">
            <v>84</v>
          </cell>
        </row>
        <row r="17">
          <cell r="B17">
            <v>540</v>
          </cell>
          <cell r="C17" t="str">
            <v>DISPO</v>
          </cell>
          <cell r="E17" t="str">
            <v>PCE</v>
          </cell>
          <cell r="F17">
            <v>1</v>
          </cell>
        </row>
        <row r="18">
          <cell r="B18">
            <v>1926</v>
          </cell>
          <cell r="C18" t="str">
            <v>DISPO</v>
          </cell>
          <cell r="E18" t="str">
            <v>PCE</v>
          </cell>
          <cell r="F18">
            <v>20</v>
          </cell>
        </row>
        <row r="19">
          <cell r="B19">
            <v>1927</v>
          </cell>
          <cell r="C19" t="str">
            <v>DISPO</v>
          </cell>
          <cell r="E19" t="str">
            <v>PCE</v>
          </cell>
          <cell r="F19">
            <v>15</v>
          </cell>
        </row>
        <row r="20">
          <cell r="B20">
            <v>1949</v>
          </cell>
          <cell r="C20" t="str">
            <v>DISPO</v>
          </cell>
          <cell r="E20" t="str">
            <v>PCE</v>
          </cell>
          <cell r="F20">
            <v>3</v>
          </cell>
        </row>
        <row r="21">
          <cell r="B21">
            <v>1952</v>
          </cell>
          <cell r="C21" t="str">
            <v>DISPO</v>
          </cell>
          <cell r="E21" t="str">
            <v>PCE</v>
          </cell>
          <cell r="F21">
            <v>17</v>
          </cell>
        </row>
        <row r="22">
          <cell r="B22">
            <v>1967</v>
          </cell>
          <cell r="C22" t="str">
            <v>DISPO</v>
          </cell>
          <cell r="E22" t="str">
            <v>PCE</v>
          </cell>
          <cell r="F22">
            <v>1</v>
          </cell>
        </row>
        <row r="23">
          <cell r="B23">
            <v>1968</v>
          </cell>
          <cell r="C23" t="str">
            <v>DISPO</v>
          </cell>
          <cell r="E23" t="str">
            <v>PCE</v>
          </cell>
          <cell r="F23">
            <v>1</v>
          </cell>
        </row>
        <row r="24">
          <cell r="B24">
            <v>1974</v>
          </cell>
          <cell r="C24" t="str">
            <v>DISPO</v>
          </cell>
          <cell r="E24" t="str">
            <v>PCE</v>
          </cell>
          <cell r="F24">
            <v>2</v>
          </cell>
        </row>
        <row r="25">
          <cell r="B25">
            <v>2018</v>
          </cell>
          <cell r="C25" t="str">
            <v>DISPO</v>
          </cell>
          <cell r="E25" t="str">
            <v>PCE</v>
          </cell>
          <cell r="F25">
            <v>20</v>
          </cell>
        </row>
        <row r="26">
          <cell r="B26">
            <v>2025</v>
          </cell>
          <cell r="C26" t="str">
            <v>DISPO</v>
          </cell>
          <cell r="E26" t="str">
            <v>PCE</v>
          </cell>
          <cell r="F26">
            <v>3</v>
          </cell>
        </row>
        <row r="27">
          <cell r="B27">
            <v>2026</v>
          </cell>
          <cell r="C27" t="str">
            <v>DISPO</v>
          </cell>
          <cell r="E27" t="str">
            <v>PCE</v>
          </cell>
          <cell r="F27">
            <v>5</v>
          </cell>
        </row>
        <row r="28">
          <cell r="B28">
            <v>2031</v>
          </cell>
          <cell r="C28" t="str">
            <v>DISPO</v>
          </cell>
          <cell r="E28" t="str">
            <v>PCE</v>
          </cell>
          <cell r="F28">
            <v>9</v>
          </cell>
        </row>
        <row r="29">
          <cell r="B29">
            <v>2087</v>
          </cell>
          <cell r="C29" t="str">
            <v>DISPO</v>
          </cell>
          <cell r="E29" t="str">
            <v>PCE</v>
          </cell>
          <cell r="F29">
            <v>21</v>
          </cell>
        </row>
        <row r="30">
          <cell r="B30">
            <v>2091</v>
          </cell>
          <cell r="C30" t="str">
            <v>DISPO</v>
          </cell>
          <cell r="E30" t="str">
            <v>PCE</v>
          </cell>
          <cell r="F30">
            <v>1</v>
          </cell>
        </row>
        <row r="31">
          <cell r="B31">
            <v>2096</v>
          </cell>
          <cell r="C31" t="str">
            <v>DISPO</v>
          </cell>
          <cell r="E31" t="str">
            <v>PCE</v>
          </cell>
          <cell r="F31">
            <v>2</v>
          </cell>
        </row>
        <row r="32">
          <cell r="B32">
            <v>2105</v>
          </cell>
          <cell r="C32" t="str">
            <v>DISPO</v>
          </cell>
          <cell r="E32" t="str">
            <v>PCE</v>
          </cell>
          <cell r="F32">
            <v>5</v>
          </cell>
        </row>
        <row r="33">
          <cell r="B33">
            <v>2121</v>
          </cell>
          <cell r="C33" t="str">
            <v>DISPO</v>
          </cell>
          <cell r="E33" t="str">
            <v>PCE</v>
          </cell>
          <cell r="F33">
            <v>3</v>
          </cell>
        </row>
        <row r="34">
          <cell r="B34">
            <v>2129</v>
          </cell>
          <cell r="C34" t="str">
            <v>DISPO</v>
          </cell>
          <cell r="E34" t="str">
            <v>PCE</v>
          </cell>
          <cell r="F34">
            <v>3</v>
          </cell>
        </row>
        <row r="35">
          <cell r="B35">
            <v>2132</v>
          </cell>
          <cell r="C35" t="str">
            <v>DISPO</v>
          </cell>
          <cell r="E35" t="str">
            <v>PCE</v>
          </cell>
          <cell r="F35">
            <v>2</v>
          </cell>
        </row>
        <row r="36">
          <cell r="B36">
            <v>2137</v>
          </cell>
          <cell r="C36" t="str">
            <v>DISPO</v>
          </cell>
          <cell r="E36" t="str">
            <v>PCE</v>
          </cell>
          <cell r="F36">
            <v>32</v>
          </cell>
        </row>
        <row r="37">
          <cell r="B37">
            <v>2144</v>
          </cell>
          <cell r="C37" t="str">
            <v>DISPO</v>
          </cell>
          <cell r="E37" t="str">
            <v>PCE</v>
          </cell>
          <cell r="F37">
            <v>12</v>
          </cell>
        </row>
        <row r="38">
          <cell r="B38">
            <v>2155</v>
          </cell>
          <cell r="C38" t="str">
            <v>DISPO</v>
          </cell>
          <cell r="E38" t="str">
            <v>PCE</v>
          </cell>
          <cell r="F38">
            <v>16</v>
          </cell>
        </row>
        <row r="39">
          <cell r="B39">
            <v>2161</v>
          </cell>
          <cell r="C39" t="str">
            <v>DISPO</v>
          </cell>
          <cell r="E39" t="str">
            <v>PCE</v>
          </cell>
          <cell r="F39">
            <v>7</v>
          </cell>
        </row>
        <row r="40">
          <cell r="B40">
            <v>2212</v>
          </cell>
          <cell r="C40" t="str">
            <v>DISPO</v>
          </cell>
          <cell r="E40" t="str">
            <v>PCE</v>
          </cell>
          <cell r="F40">
            <v>2</v>
          </cell>
        </row>
        <row r="41">
          <cell r="B41">
            <v>2215</v>
          </cell>
          <cell r="C41" t="str">
            <v>DISPO</v>
          </cell>
          <cell r="E41" t="str">
            <v>PCE</v>
          </cell>
          <cell r="F41">
            <v>1</v>
          </cell>
        </row>
        <row r="42">
          <cell r="B42">
            <v>2226</v>
          </cell>
          <cell r="C42" t="str">
            <v>DISPO</v>
          </cell>
          <cell r="E42" t="str">
            <v>PCE</v>
          </cell>
          <cell r="F42">
            <v>1</v>
          </cell>
        </row>
        <row r="43">
          <cell r="B43">
            <v>2234</v>
          </cell>
          <cell r="C43" t="str">
            <v>DISPO</v>
          </cell>
          <cell r="E43" t="str">
            <v>PCE</v>
          </cell>
          <cell r="F43">
            <v>1</v>
          </cell>
        </row>
        <row r="44">
          <cell r="B44">
            <v>2259</v>
          </cell>
          <cell r="C44" t="str">
            <v>DISPO</v>
          </cell>
          <cell r="E44" t="str">
            <v>PCE</v>
          </cell>
          <cell r="F44">
            <v>4</v>
          </cell>
        </row>
        <row r="45">
          <cell r="B45">
            <v>2264</v>
          </cell>
          <cell r="C45" t="str">
            <v>DISPO</v>
          </cell>
          <cell r="E45" t="str">
            <v>PCE</v>
          </cell>
          <cell r="F45">
            <v>2</v>
          </cell>
        </row>
        <row r="46">
          <cell r="B46">
            <v>2282</v>
          </cell>
          <cell r="C46" t="str">
            <v>DISPO</v>
          </cell>
          <cell r="E46" t="str">
            <v>PCE</v>
          </cell>
          <cell r="F46">
            <v>2</v>
          </cell>
        </row>
        <row r="47">
          <cell r="B47">
            <v>2284</v>
          </cell>
          <cell r="C47" t="str">
            <v>DISPO</v>
          </cell>
          <cell r="E47" t="str">
            <v>PCE</v>
          </cell>
          <cell r="F47">
            <v>2</v>
          </cell>
        </row>
        <row r="48">
          <cell r="B48">
            <v>2286</v>
          </cell>
          <cell r="C48" t="str">
            <v>DISPO</v>
          </cell>
          <cell r="E48" t="str">
            <v>PCE</v>
          </cell>
          <cell r="F48">
            <v>1</v>
          </cell>
        </row>
        <row r="49">
          <cell r="B49">
            <v>2290</v>
          </cell>
          <cell r="C49" t="str">
            <v>DISPO</v>
          </cell>
          <cell r="E49" t="str">
            <v>PCE</v>
          </cell>
          <cell r="F49">
            <v>5</v>
          </cell>
        </row>
        <row r="50">
          <cell r="B50">
            <v>2297</v>
          </cell>
          <cell r="C50" t="str">
            <v>DISPO</v>
          </cell>
          <cell r="E50" t="str">
            <v>PCE</v>
          </cell>
          <cell r="F50">
            <v>8</v>
          </cell>
        </row>
        <row r="51">
          <cell r="B51">
            <v>2327</v>
          </cell>
          <cell r="C51" t="str">
            <v>DISPO</v>
          </cell>
          <cell r="E51" t="str">
            <v>PCE</v>
          </cell>
          <cell r="F51">
            <v>6</v>
          </cell>
        </row>
        <row r="52">
          <cell r="B52">
            <v>2337</v>
          </cell>
          <cell r="C52" t="str">
            <v>DISPO</v>
          </cell>
          <cell r="E52" t="str">
            <v>PCE</v>
          </cell>
          <cell r="F52">
            <v>27</v>
          </cell>
        </row>
        <row r="53">
          <cell r="B53">
            <v>2347</v>
          </cell>
          <cell r="C53" t="str">
            <v>DISPO</v>
          </cell>
          <cell r="E53" t="str">
            <v>PCE</v>
          </cell>
          <cell r="F53">
            <v>8</v>
          </cell>
        </row>
        <row r="54">
          <cell r="B54">
            <v>2349</v>
          </cell>
          <cell r="C54" t="str">
            <v>DISPO</v>
          </cell>
          <cell r="E54" t="str">
            <v>PCE</v>
          </cell>
          <cell r="F54">
            <v>1</v>
          </cell>
        </row>
        <row r="55">
          <cell r="B55">
            <v>2366</v>
          </cell>
          <cell r="C55" t="str">
            <v>DISPO</v>
          </cell>
          <cell r="E55" t="str">
            <v>PCE</v>
          </cell>
          <cell r="F55">
            <v>1</v>
          </cell>
        </row>
        <row r="56">
          <cell r="B56">
            <v>2368</v>
          </cell>
          <cell r="C56" t="str">
            <v>DISPO</v>
          </cell>
          <cell r="E56" t="str">
            <v>PCE</v>
          </cell>
          <cell r="F56">
            <v>1</v>
          </cell>
        </row>
        <row r="57">
          <cell r="B57">
            <v>2397</v>
          </cell>
          <cell r="C57" t="str">
            <v>DISPO</v>
          </cell>
          <cell r="E57" t="str">
            <v>PCE</v>
          </cell>
          <cell r="F57">
            <v>1</v>
          </cell>
        </row>
        <row r="58">
          <cell r="B58">
            <v>2414</v>
          </cell>
          <cell r="C58" t="str">
            <v>DISPO</v>
          </cell>
          <cell r="E58" t="str">
            <v>PCE</v>
          </cell>
          <cell r="F58">
            <v>15</v>
          </cell>
        </row>
        <row r="59">
          <cell r="B59">
            <v>2454</v>
          </cell>
          <cell r="C59" t="str">
            <v>DISPO</v>
          </cell>
          <cell r="E59" t="str">
            <v>U</v>
          </cell>
          <cell r="F59">
            <v>5</v>
          </cell>
        </row>
        <row r="60">
          <cell r="B60">
            <v>2463</v>
          </cell>
          <cell r="C60" t="str">
            <v>DISPO</v>
          </cell>
          <cell r="E60" t="str">
            <v>U</v>
          </cell>
          <cell r="F60">
            <v>10</v>
          </cell>
        </row>
        <row r="61">
          <cell r="B61">
            <v>2464</v>
          </cell>
          <cell r="C61" t="str">
            <v>DISPO</v>
          </cell>
          <cell r="E61" t="str">
            <v>U</v>
          </cell>
          <cell r="F61">
            <v>9</v>
          </cell>
        </row>
        <row r="62">
          <cell r="B62">
            <v>2465</v>
          </cell>
          <cell r="C62" t="str">
            <v>DISPO</v>
          </cell>
          <cell r="E62" t="str">
            <v>U</v>
          </cell>
          <cell r="F62">
            <v>3</v>
          </cell>
        </row>
        <row r="63">
          <cell r="B63">
            <v>2467</v>
          </cell>
          <cell r="C63" t="str">
            <v>DISPO</v>
          </cell>
          <cell r="E63" t="str">
            <v>U</v>
          </cell>
          <cell r="F63">
            <v>2</v>
          </cell>
        </row>
        <row r="64">
          <cell r="B64">
            <v>2468</v>
          </cell>
          <cell r="C64" t="str">
            <v>DISPO</v>
          </cell>
          <cell r="E64" t="str">
            <v>U</v>
          </cell>
          <cell r="F64">
            <v>9</v>
          </cell>
        </row>
        <row r="65">
          <cell r="B65">
            <v>2477</v>
          </cell>
          <cell r="C65" t="str">
            <v>DISPO</v>
          </cell>
          <cell r="E65" t="str">
            <v>U</v>
          </cell>
          <cell r="F65">
            <v>3</v>
          </cell>
        </row>
        <row r="66">
          <cell r="B66">
            <v>2478</v>
          </cell>
          <cell r="C66" t="str">
            <v>DISPO</v>
          </cell>
          <cell r="E66" t="str">
            <v>U</v>
          </cell>
          <cell r="F66">
            <v>24</v>
          </cell>
        </row>
        <row r="67">
          <cell r="B67">
            <v>2480</v>
          </cell>
          <cell r="C67" t="str">
            <v>DISPO</v>
          </cell>
          <cell r="E67" t="str">
            <v>M</v>
          </cell>
          <cell r="F67">
            <v>140</v>
          </cell>
        </row>
        <row r="68">
          <cell r="B68">
            <v>2488</v>
          </cell>
          <cell r="C68" t="str">
            <v>DISPO</v>
          </cell>
          <cell r="E68" t="str">
            <v>M</v>
          </cell>
          <cell r="F68">
            <v>25</v>
          </cell>
        </row>
        <row r="69">
          <cell r="B69">
            <v>2490</v>
          </cell>
          <cell r="C69" t="str">
            <v>DISPO</v>
          </cell>
          <cell r="E69" t="str">
            <v>U</v>
          </cell>
          <cell r="F69">
            <v>2</v>
          </cell>
        </row>
        <row r="70">
          <cell r="B70">
            <v>2495</v>
          </cell>
          <cell r="C70" t="str">
            <v>DISPO</v>
          </cell>
          <cell r="E70" t="str">
            <v>U</v>
          </cell>
          <cell r="F70">
            <v>2</v>
          </cell>
        </row>
        <row r="71">
          <cell r="B71">
            <v>2496</v>
          </cell>
          <cell r="C71" t="str">
            <v>DISPO</v>
          </cell>
          <cell r="E71" t="str">
            <v>U</v>
          </cell>
          <cell r="F71">
            <v>7</v>
          </cell>
        </row>
        <row r="72">
          <cell r="B72">
            <v>2500</v>
          </cell>
          <cell r="C72" t="str">
            <v>DISPO</v>
          </cell>
          <cell r="E72" t="str">
            <v>U</v>
          </cell>
          <cell r="F72">
            <v>5390</v>
          </cell>
        </row>
        <row r="73">
          <cell r="B73">
            <v>2508</v>
          </cell>
          <cell r="C73" t="str">
            <v>DISPO</v>
          </cell>
          <cell r="E73" t="str">
            <v>U</v>
          </cell>
          <cell r="F73">
            <v>3</v>
          </cell>
        </row>
        <row r="74">
          <cell r="B74">
            <v>2511</v>
          </cell>
          <cell r="C74" t="str">
            <v>DISPO</v>
          </cell>
          <cell r="E74" t="str">
            <v>U</v>
          </cell>
          <cell r="F74">
            <v>2</v>
          </cell>
        </row>
        <row r="75">
          <cell r="B75">
            <v>2533</v>
          </cell>
          <cell r="C75" t="str">
            <v>DISPO</v>
          </cell>
          <cell r="E75" t="str">
            <v>U</v>
          </cell>
          <cell r="F75">
            <v>938</v>
          </cell>
        </row>
        <row r="76">
          <cell r="B76">
            <v>2539</v>
          </cell>
          <cell r="C76" t="str">
            <v>DISPO</v>
          </cell>
          <cell r="E76" t="str">
            <v>U</v>
          </cell>
          <cell r="F76">
            <v>1</v>
          </cell>
        </row>
        <row r="77">
          <cell r="B77">
            <v>2541</v>
          </cell>
          <cell r="C77" t="str">
            <v>DISPO</v>
          </cell>
          <cell r="E77" t="str">
            <v>U</v>
          </cell>
          <cell r="F77">
            <v>2100</v>
          </cell>
        </row>
        <row r="78">
          <cell r="B78">
            <v>2542</v>
          </cell>
          <cell r="C78" t="str">
            <v>DISPO</v>
          </cell>
          <cell r="E78" t="str">
            <v>U</v>
          </cell>
          <cell r="F78">
            <v>2</v>
          </cell>
        </row>
        <row r="79">
          <cell r="B79">
            <v>2560</v>
          </cell>
          <cell r="C79" t="str">
            <v>DISPO</v>
          </cell>
          <cell r="E79" t="str">
            <v>U</v>
          </cell>
          <cell r="F79">
            <v>64</v>
          </cell>
        </row>
        <row r="80">
          <cell r="B80">
            <v>2562</v>
          </cell>
          <cell r="C80" t="str">
            <v>DISPO</v>
          </cell>
          <cell r="E80" t="str">
            <v>U</v>
          </cell>
          <cell r="F80">
            <v>2</v>
          </cell>
        </row>
        <row r="81">
          <cell r="B81">
            <v>2565</v>
          </cell>
          <cell r="C81" t="str">
            <v>DISPO</v>
          </cell>
          <cell r="E81" t="str">
            <v>U</v>
          </cell>
          <cell r="F81">
            <v>341</v>
          </cell>
        </row>
        <row r="82">
          <cell r="B82">
            <v>2569</v>
          </cell>
          <cell r="C82" t="str">
            <v>DISPO</v>
          </cell>
          <cell r="E82" t="str">
            <v>U</v>
          </cell>
          <cell r="F82">
            <v>13</v>
          </cell>
        </row>
        <row r="83">
          <cell r="B83">
            <v>2570</v>
          </cell>
          <cell r="C83" t="str">
            <v>DISPO</v>
          </cell>
          <cell r="E83" t="str">
            <v>U</v>
          </cell>
          <cell r="F83">
            <v>5</v>
          </cell>
        </row>
        <row r="84">
          <cell r="B84">
            <v>2572</v>
          </cell>
          <cell r="C84" t="str">
            <v>DISPO</v>
          </cell>
          <cell r="E84" t="str">
            <v>U</v>
          </cell>
          <cell r="F84">
            <v>3</v>
          </cell>
        </row>
        <row r="85">
          <cell r="B85">
            <v>2576</v>
          </cell>
          <cell r="C85" t="str">
            <v>DISPO</v>
          </cell>
          <cell r="E85" t="str">
            <v>U</v>
          </cell>
          <cell r="F85">
            <v>1</v>
          </cell>
        </row>
        <row r="86">
          <cell r="B86">
            <v>2579</v>
          </cell>
          <cell r="C86" t="str">
            <v>DISPO</v>
          </cell>
          <cell r="E86" t="str">
            <v>U</v>
          </cell>
          <cell r="F86">
            <v>6</v>
          </cell>
        </row>
        <row r="87">
          <cell r="B87">
            <v>2588</v>
          </cell>
          <cell r="C87" t="str">
            <v>DISPO</v>
          </cell>
          <cell r="E87" t="str">
            <v>U</v>
          </cell>
          <cell r="F87">
            <v>50</v>
          </cell>
        </row>
        <row r="88">
          <cell r="B88">
            <v>2590</v>
          </cell>
          <cell r="C88" t="str">
            <v>DISPO</v>
          </cell>
          <cell r="E88" t="str">
            <v>U</v>
          </cell>
          <cell r="F88">
            <v>316</v>
          </cell>
        </row>
        <row r="89">
          <cell r="B89">
            <v>2591</v>
          </cell>
          <cell r="C89" t="str">
            <v>DISPO</v>
          </cell>
          <cell r="E89" t="str">
            <v>U</v>
          </cell>
          <cell r="F89">
            <v>5</v>
          </cell>
        </row>
        <row r="90">
          <cell r="B90">
            <v>2592</v>
          </cell>
          <cell r="C90" t="str">
            <v>DISPO</v>
          </cell>
          <cell r="E90" t="str">
            <v>U</v>
          </cell>
          <cell r="F90">
            <v>8</v>
          </cell>
        </row>
        <row r="91">
          <cell r="B91">
            <v>2595</v>
          </cell>
          <cell r="C91" t="str">
            <v>DISPO</v>
          </cell>
          <cell r="E91" t="str">
            <v>U</v>
          </cell>
          <cell r="F91">
            <v>1020</v>
          </cell>
        </row>
        <row r="92">
          <cell r="B92">
            <v>2607</v>
          </cell>
          <cell r="C92" t="str">
            <v>DISPO</v>
          </cell>
          <cell r="E92" t="str">
            <v>U</v>
          </cell>
          <cell r="F92">
            <v>1</v>
          </cell>
        </row>
        <row r="93">
          <cell r="B93">
            <v>2616</v>
          </cell>
          <cell r="C93" t="str">
            <v>DISPO</v>
          </cell>
          <cell r="E93" t="str">
            <v>U</v>
          </cell>
          <cell r="F93">
            <v>7</v>
          </cell>
        </row>
        <row r="94">
          <cell r="B94">
            <v>2623</v>
          </cell>
          <cell r="C94" t="str">
            <v>DISPO</v>
          </cell>
          <cell r="E94" t="str">
            <v>U</v>
          </cell>
          <cell r="F94">
            <v>34</v>
          </cell>
        </row>
        <row r="95">
          <cell r="B95">
            <v>2625</v>
          </cell>
          <cell r="C95" t="str">
            <v>DISPO</v>
          </cell>
          <cell r="E95" t="str">
            <v>U</v>
          </cell>
          <cell r="F95">
            <v>60</v>
          </cell>
        </row>
        <row r="96">
          <cell r="B96">
            <v>2630</v>
          </cell>
          <cell r="C96" t="str">
            <v>DISPO</v>
          </cell>
          <cell r="E96" t="str">
            <v>U</v>
          </cell>
          <cell r="F96">
            <v>14</v>
          </cell>
        </row>
        <row r="97">
          <cell r="B97">
            <v>2631</v>
          </cell>
          <cell r="C97" t="str">
            <v>DISPO</v>
          </cell>
          <cell r="E97" t="str">
            <v>U</v>
          </cell>
          <cell r="F97">
            <v>7</v>
          </cell>
        </row>
        <row r="98">
          <cell r="B98">
            <v>2637</v>
          </cell>
          <cell r="C98" t="str">
            <v>DISPO</v>
          </cell>
          <cell r="E98" t="str">
            <v>U</v>
          </cell>
          <cell r="F98">
            <v>87</v>
          </cell>
        </row>
        <row r="99">
          <cell r="B99">
            <v>2657</v>
          </cell>
          <cell r="C99" t="str">
            <v>DISPO</v>
          </cell>
          <cell r="E99" t="str">
            <v>U</v>
          </cell>
          <cell r="F99">
            <v>415</v>
          </cell>
        </row>
        <row r="100">
          <cell r="B100">
            <v>2665</v>
          </cell>
          <cell r="C100" t="str">
            <v>DISPO</v>
          </cell>
          <cell r="E100" t="str">
            <v>U</v>
          </cell>
          <cell r="F100">
            <v>1</v>
          </cell>
        </row>
        <row r="101">
          <cell r="B101">
            <v>2674</v>
          </cell>
          <cell r="C101" t="str">
            <v>DISPO</v>
          </cell>
          <cell r="E101" t="str">
            <v>U</v>
          </cell>
          <cell r="F101">
            <v>6</v>
          </cell>
        </row>
        <row r="102">
          <cell r="B102">
            <v>2680</v>
          </cell>
          <cell r="C102" t="str">
            <v>DISPO</v>
          </cell>
          <cell r="E102" t="str">
            <v>U</v>
          </cell>
          <cell r="F102">
            <v>6</v>
          </cell>
        </row>
        <row r="103">
          <cell r="B103">
            <v>2681</v>
          </cell>
          <cell r="C103" t="str">
            <v>DISPO</v>
          </cell>
          <cell r="E103" t="str">
            <v>U</v>
          </cell>
          <cell r="F103">
            <v>9</v>
          </cell>
        </row>
        <row r="104">
          <cell r="B104">
            <v>2701</v>
          </cell>
          <cell r="C104" t="str">
            <v>DISPO</v>
          </cell>
          <cell r="E104" t="str">
            <v>U</v>
          </cell>
          <cell r="F104">
            <v>69</v>
          </cell>
        </row>
        <row r="105">
          <cell r="B105">
            <v>2706</v>
          </cell>
          <cell r="C105" t="str">
            <v>DISPO</v>
          </cell>
          <cell r="E105" t="str">
            <v>U</v>
          </cell>
          <cell r="F105">
            <v>96</v>
          </cell>
        </row>
        <row r="106">
          <cell r="B106">
            <v>2848</v>
          </cell>
          <cell r="C106" t="str">
            <v>DISPO</v>
          </cell>
          <cell r="E106" t="str">
            <v>U</v>
          </cell>
          <cell r="F106">
            <v>2</v>
          </cell>
        </row>
        <row r="107">
          <cell r="B107">
            <v>2855</v>
          </cell>
          <cell r="C107" t="str">
            <v>DISPO</v>
          </cell>
          <cell r="E107" t="str">
            <v>U</v>
          </cell>
          <cell r="F107">
            <v>1</v>
          </cell>
        </row>
        <row r="108">
          <cell r="B108">
            <v>2865</v>
          </cell>
          <cell r="C108" t="str">
            <v>DISPO</v>
          </cell>
          <cell r="E108" t="str">
            <v>U</v>
          </cell>
          <cell r="F108">
            <v>22</v>
          </cell>
        </row>
        <row r="109">
          <cell r="B109">
            <v>2891</v>
          </cell>
          <cell r="C109" t="str">
            <v>DISPO</v>
          </cell>
          <cell r="E109" t="str">
            <v>U</v>
          </cell>
          <cell r="F109">
            <v>4</v>
          </cell>
        </row>
        <row r="110">
          <cell r="B110">
            <v>2892</v>
          </cell>
          <cell r="C110" t="str">
            <v>DISPO</v>
          </cell>
          <cell r="E110" t="str">
            <v>U</v>
          </cell>
          <cell r="F110">
            <v>6</v>
          </cell>
        </row>
        <row r="111">
          <cell r="B111">
            <v>2895</v>
          </cell>
          <cell r="C111" t="str">
            <v>DISPO</v>
          </cell>
          <cell r="E111" t="str">
            <v>U</v>
          </cell>
          <cell r="F111">
            <v>2400</v>
          </cell>
        </row>
        <row r="112">
          <cell r="B112">
            <v>2896</v>
          </cell>
          <cell r="C112" t="str">
            <v>DISPO</v>
          </cell>
          <cell r="E112" t="str">
            <v>U</v>
          </cell>
          <cell r="F112">
            <v>2600</v>
          </cell>
        </row>
        <row r="113">
          <cell r="B113">
            <v>2898</v>
          </cell>
          <cell r="C113" t="str">
            <v>DISPO</v>
          </cell>
          <cell r="E113" t="str">
            <v>U</v>
          </cell>
          <cell r="F113">
            <v>3</v>
          </cell>
        </row>
        <row r="114">
          <cell r="B114">
            <v>2899</v>
          </cell>
          <cell r="C114" t="str">
            <v>DISPO</v>
          </cell>
          <cell r="E114" t="str">
            <v>U</v>
          </cell>
          <cell r="F114">
            <v>112</v>
          </cell>
        </row>
        <row r="115">
          <cell r="B115">
            <v>2909</v>
          </cell>
          <cell r="C115" t="str">
            <v>DISPO</v>
          </cell>
          <cell r="E115" t="str">
            <v>U</v>
          </cell>
          <cell r="F115">
            <v>3</v>
          </cell>
        </row>
        <row r="116">
          <cell r="B116">
            <v>2915</v>
          </cell>
          <cell r="C116" t="str">
            <v>DISPO</v>
          </cell>
          <cell r="E116" t="str">
            <v>U</v>
          </cell>
          <cell r="F116">
            <v>5</v>
          </cell>
        </row>
        <row r="117">
          <cell r="B117">
            <v>2924</v>
          </cell>
          <cell r="C117" t="str">
            <v>DISPO</v>
          </cell>
          <cell r="E117" t="str">
            <v>U</v>
          </cell>
          <cell r="F117">
            <v>1</v>
          </cell>
        </row>
        <row r="118">
          <cell r="B118">
            <v>2935</v>
          </cell>
          <cell r="C118" t="str">
            <v>DISPO</v>
          </cell>
          <cell r="E118" t="str">
            <v>U</v>
          </cell>
          <cell r="F118">
            <v>18</v>
          </cell>
        </row>
        <row r="119">
          <cell r="B119">
            <v>2939</v>
          </cell>
          <cell r="C119" t="str">
            <v>DISPO</v>
          </cell>
          <cell r="E119" t="str">
            <v>U</v>
          </cell>
          <cell r="F119">
            <v>91</v>
          </cell>
        </row>
        <row r="120">
          <cell r="B120">
            <v>2953</v>
          </cell>
          <cell r="C120" t="str">
            <v>DISPO</v>
          </cell>
          <cell r="E120" t="str">
            <v>U</v>
          </cell>
          <cell r="F120">
            <v>1</v>
          </cell>
        </row>
        <row r="121">
          <cell r="B121">
            <v>2958</v>
          </cell>
          <cell r="C121" t="str">
            <v>DISPO</v>
          </cell>
          <cell r="E121" t="str">
            <v>U</v>
          </cell>
          <cell r="F121">
            <v>3</v>
          </cell>
        </row>
        <row r="122">
          <cell r="B122">
            <v>2977</v>
          </cell>
          <cell r="C122" t="str">
            <v>DISPO</v>
          </cell>
          <cell r="E122" t="str">
            <v>U</v>
          </cell>
          <cell r="F122">
            <v>164</v>
          </cell>
        </row>
        <row r="123">
          <cell r="B123">
            <v>2978</v>
          </cell>
          <cell r="C123" t="str">
            <v>DISPO</v>
          </cell>
          <cell r="E123" t="str">
            <v>U</v>
          </cell>
          <cell r="F123">
            <v>17</v>
          </cell>
        </row>
        <row r="124">
          <cell r="B124">
            <v>2979</v>
          </cell>
          <cell r="C124" t="str">
            <v>DISPO</v>
          </cell>
          <cell r="E124" t="str">
            <v>U</v>
          </cell>
          <cell r="F124">
            <v>1</v>
          </cell>
        </row>
        <row r="125">
          <cell r="B125">
            <v>3003</v>
          </cell>
          <cell r="C125" t="str">
            <v>DISPO</v>
          </cell>
          <cell r="E125" t="str">
            <v>U</v>
          </cell>
          <cell r="F125">
            <v>77</v>
          </cell>
        </row>
        <row r="126">
          <cell r="B126">
            <v>3041</v>
          </cell>
          <cell r="C126" t="str">
            <v>DISPO</v>
          </cell>
          <cell r="E126" t="str">
            <v>U</v>
          </cell>
          <cell r="F126">
            <v>2</v>
          </cell>
        </row>
        <row r="127">
          <cell r="B127">
            <v>3099</v>
          </cell>
          <cell r="C127" t="str">
            <v>DISPO</v>
          </cell>
          <cell r="E127" t="str">
            <v>U</v>
          </cell>
          <cell r="F127">
            <v>2</v>
          </cell>
        </row>
        <row r="128">
          <cell r="B128">
            <v>3117</v>
          </cell>
          <cell r="C128" t="str">
            <v>DISPO</v>
          </cell>
          <cell r="E128" t="str">
            <v>U</v>
          </cell>
          <cell r="F128">
            <v>2</v>
          </cell>
        </row>
        <row r="129">
          <cell r="B129">
            <v>3600</v>
          </cell>
          <cell r="C129" t="str">
            <v>DISPO</v>
          </cell>
          <cell r="E129" t="str">
            <v>PCE</v>
          </cell>
          <cell r="F129">
            <v>16</v>
          </cell>
        </row>
        <row r="130">
          <cell r="B130">
            <v>3620</v>
          </cell>
          <cell r="C130" t="str">
            <v>DISPO</v>
          </cell>
          <cell r="E130" t="str">
            <v>PCE</v>
          </cell>
          <cell r="F130">
            <v>1</v>
          </cell>
        </row>
        <row r="131">
          <cell r="B131">
            <v>3628</v>
          </cell>
          <cell r="C131" t="str">
            <v>DISPO</v>
          </cell>
          <cell r="E131" t="str">
            <v>PCE</v>
          </cell>
          <cell r="F131">
            <v>1</v>
          </cell>
        </row>
        <row r="132">
          <cell r="B132">
            <v>3658</v>
          </cell>
          <cell r="C132" t="str">
            <v>DISPO</v>
          </cell>
          <cell r="E132" t="str">
            <v>U</v>
          </cell>
          <cell r="F132">
            <v>540</v>
          </cell>
        </row>
        <row r="133">
          <cell r="B133">
            <v>3660</v>
          </cell>
          <cell r="C133" t="str">
            <v>DISPO</v>
          </cell>
          <cell r="E133" t="str">
            <v>PCE</v>
          </cell>
          <cell r="F133">
            <v>16</v>
          </cell>
        </row>
        <row r="134">
          <cell r="B134">
            <v>3661</v>
          </cell>
          <cell r="C134" t="str">
            <v>DISPO</v>
          </cell>
          <cell r="E134" t="str">
            <v>PCE</v>
          </cell>
          <cell r="F134">
            <v>26</v>
          </cell>
        </row>
        <row r="135">
          <cell r="B135">
            <v>3696</v>
          </cell>
          <cell r="C135" t="str">
            <v>DISPO</v>
          </cell>
          <cell r="E135" t="str">
            <v>PCE</v>
          </cell>
          <cell r="F135">
            <v>1</v>
          </cell>
        </row>
        <row r="136">
          <cell r="B136">
            <v>3698</v>
          </cell>
          <cell r="C136" t="str">
            <v>DISPO</v>
          </cell>
          <cell r="E136" t="str">
            <v>PCE</v>
          </cell>
          <cell r="F136">
            <v>3</v>
          </cell>
        </row>
        <row r="137">
          <cell r="B137">
            <v>3700</v>
          </cell>
          <cell r="C137" t="str">
            <v>DISPO</v>
          </cell>
          <cell r="E137" t="str">
            <v>PCE</v>
          </cell>
          <cell r="F137">
            <v>1</v>
          </cell>
        </row>
        <row r="138">
          <cell r="B138">
            <v>3702</v>
          </cell>
          <cell r="C138" t="str">
            <v>DISPO</v>
          </cell>
          <cell r="E138" t="str">
            <v>PCE</v>
          </cell>
          <cell r="F138">
            <v>1</v>
          </cell>
        </row>
        <row r="139">
          <cell r="B139">
            <v>3703</v>
          </cell>
          <cell r="C139" t="str">
            <v>DISPO</v>
          </cell>
          <cell r="E139" t="str">
            <v>PCE</v>
          </cell>
          <cell r="F139">
            <v>1</v>
          </cell>
        </row>
        <row r="140">
          <cell r="B140">
            <v>3729</v>
          </cell>
          <cell r="C140" t="str">
            <v>DISPO</v>
          </cell>
          <cell r="E140" t="str">
            <v>PCE</v>
          </cell>
          <cell r="F140">
            <v>1</v>
          </cell>
        </row>
        <row r="141">
          <cell r="B141">
            <v>3735</v>
          </cell>
          <cell r="C141" t="str">
            <v>DISPO</v>
          </cell>
          <cell r="E141" t="str">
            <v>PCE</v>
          </cell>
          <cell r="F141">
            <v>3</v>
          </cell>
        </row>
        <row r="142">
          <cell r="B142">
            <v>3736</v>
          </cell>
          <cell r="C142" t="str">
            <v>DISPO</v>
          </cell>
          <cell r="E142" t="str">
            <v>PCE</v>
          </cell>
          <cell r="F142">
            <v>10</v>
          </cell>
        </row>
        <row r="143">
          <cell r="B143">
            <v>3740</v>
          </cell>
          <cell r="C143" t="str">
            <v>DISPO</v>
          </cell>
          <cell r="E143" t="str">
            <v>PCE</v>
          </cell>
          <cell r="F143">
            <v>2</v>
          </cell>
        </row>
        <row r="144">
          <cell r="B144">
            <v>3741</v>
          </cell>
          <cell r="C144" t="str">
            <v>DISPO</v>
          </cell>
          <cell r="E144" t="str">
            <v>PCE</v>
          </cell>
          <cell r="F144">
            <v>1</v>
          </cell>
        </row>
        <row r="145">
          <cell r="B145">
            <v>3745</v>
          </cell>
          <cell r="C145" t="str">
            <v>DISPO</v>
          </cell>
          <cell r="E145" t="str">
            <v>PCE</v>
          </cell>
          <cell r="F145">
            <v>3</v>
          </cell>
        </row>
        <row r="146">
          <cell r="B146">
            <v>3794</v>
          </cell>
          <cell r="C146" t="str">
            <v>DISPO</v>
          </cell>
          <cell r="E146" t="str">
            <v>PCE</v>
          </cell>
          <cell r="F146">
            <v>2</v>
          </cell>
        </row>
        <row r="147">
          <cell r="B147">
            <v>3876</v>
          </cell>
          <cell r="C147" t="str">
            <v>DISPO</v>
          </cell>
          <cell r="E147" t="str">
            <v>U</v>
          </cell>
          <cell r="F147">
            <v>42</v>
          </cell>
        </row>
        <row r="148">
          <cell r="B148">
            <v>3914</v>
          </cell>
          <cell r="C148" t="str">
            <v>DISPO</v>
          </cell>
          <cell r="E148" t="str">
            <v>PCE</v>
          </cell>
          <cell r="F148">
            <v>160</v>
          </cell>
        </row>
        <row r="149">
          <cell r="B149">
            <v>3934</v>
          </cell>
          <cell r="C149" t="str">
            <v>DISPO</v>
          </cell>
          <cell r="E149" t="str">
            <v>U</v>
          </cell>
          <cell r="F149">
            <v>4</v>
          </cell>
        </row>
        <row r="150">
          <cell r="B150">
            <v>3935</v>
          </cell>
          <cell r="C150" t="str">
            <v>DISPO</v>
          </cell>
          <cell r="E150" t="str">
            <v>PCE</v>
          </cell>
          <cell r="F150">
            <v>2</v>
          </cell>
        </row>
        <row r="151">
          <cell r="B151">
            <v>3957</v>
          </cell>
          <cell r="C151" t="str">
            <v>DISPO</v>
          </cell>
          <cell r="E151" t="str">
            <v>PCE</v>
          </cell>
          <cell r="F151">
            <v>30</v>
          </cell>
        </row>
        <row r="152">
          <cell r="B152">
            <v>4014</v>
          </cell>
          <cell r="C152" t="str">
            <v>DISPO</v>
          </cell>
          <cell r="E152" t="str">
            <v>U</v>
          </cell>
          <cell r="F152">
            <v>28</v>
          </cell>
        </row>
        <row r="153">
          <cell r="B153">
            <v>4170</v>
          </cell>
          <cell r="C153" t="str">
            <v>DISPO</v>
          </cell>
          <cell r="E153" t="str">
            <v>PCE</v>
          </cell>
          <cell r="F153">
            <v>2</v>
          </cell>
        </row>
        <row r="154">
          <cell r="B154">
            <v>4174</v>
          </cell>
          <cell r="C154" t="str">
            <v>DISPO</v>
          </cell>
          <cell r="E154" t="str">
            <v>PCE</v>
          </cell>
          <cell r="F154">
            <v>2</v>
          </cell>
        </row>
        <row r="155">
          <cell r="B155">
            <v>4180</v>
          </cell>
          <cell r="C155" t="str">
            <v>DISPO</v>
          </cell>
          <cell r="E155" t="str">
            <v>PCE</v>
          </cell>
          <cell r="F155">
            <v>33</v>
          </cell>
        </row>
        <row r="156">
          <cell r="B156">
            <v>4196</v>
          </cell>
          <cell r="C156" t="str">
            <v>DISPO</v>
          </cell>
          <cell r="E156" t="str">
            <v>PCE</v>
          </cell>
          <cell r="F156">
            <v>6</v>
          </cell>
        </row>
        <row r="157">
          <cell r="B157">
            <v>4202</v>
          </cell>
          <cell r="C157" t="str">
            <v>DISPO</v>
          </cell>
          <cell r="E157" t="str">
            <v>PCE</v>
          </cell>
          <cell r="F157">
            <v>4</v>
          </cell>
        </row>
        <row r="158">
          <cell r="B158">
            <v>4247</v>
          </cell>
          <cell r="C158" t="str">
            <v>DISPO</v>
          </cell>
          <cell r="E158" t="str">
            <v>PCE</v>
          </cell>
          <cell r="F158">
            <v>1</v>
          </cell>
        </row>
        <row r="159">
          <cell r="B159">
            <v>4280</v>
          </cell>
          <cell r="C159" t="str">
            <v>DISPO</v>
          </cell>
          <cell r="E159" t="str">
            <v>PCE</v>
          </cell>
          <cell r="F159">
            <v>1</v>
          </cell>
        </row>
        <row r="160">
          <cell r="B160">
            <v>4281</v>
          </cell>
          <cell r="C160" t="str">
            <v>DISPO</v>
          </cell>
          <cell r="E160" t="str">
            <v>PCE</v>
          </cell>
          <cell r="F160">
            <v>53</v>
          </cell>
        </row>
        <row r="161">
          <cell r="B161">
            <v>4287</v>
          </cell>
          <cell r="C161" t="str">
            <v>DISPO</v>
          </cell>
          <cell r="E161" t="str">
            <v>PCE</v>
          </cell>
          <cell r="F161">
            <v>3</v>
          </cell>
        </row>
        <row r="162">
          <cell r="B162">
            <v>4288</v>
          </cell>
          <cell r="C162" t="str">
            <v>DISPO</v>
          </cell>
          <cell r="E162" t="str">
            <v>PCE</v>
          </cell>
          <cell r="F162">
            <v>8</v>
          </cell>
        </row>
        <row r="163">
          <cell r="B163">
            <v>4295</v>
          </cell>
          <cell r="C163" t="str">
            <v>DISPO</v>
          </cell>
          <cell r="E163" t="str">
            <v>PCE</v>
          </cell>
          <cell r="F163">
            <v>7</v>
          </cell>
        </row>
        <row r="164">
          <cell r="B164">
            <v>4296</v>
          </cell>
          <cell r="C164" t="str">
            <v>DISPO</v>
          </cell>
          <cell r="E164" t="str">
            <v>U</v>
          </cell>
          <cell r="F164">
            <v>19</v>
          </cell>
        </row>
        <row r="165">
          <cell r="B165">
            <v>4302</v>
          </cell>
          <cell r="C165" t="str">
            <v>DISPO</v>
          </cell>
          <cell r="E165" t="str">
            <v>PCE</v>
          </cell>
          <cell r="F165">
            <v>19</v>
          </cell>
        </row>
        <row r="166">
          <cell r="B166">
            <v>4305</v>
          </cell>
          <cell r="C166" t="str">
            <v>DISPO</v>
          </cell>
          <cell r="E166" t="str">
            <v>PCE</v>
          </cell>
          <cell r="F166">
            <v>4</v>
          </cell>
        </row>
        <row r="167">
          <cell r="B167">
            <v>4306</v>
          </cell>
          <cell r="C167" t="str">
            <v>DISPO</v>
          </cell>
          <cell r="E167" t="str">
            <v>PCE</v>
          </cell>
          <cell r="F167">
            <v>3</v>
          </cell>
        </row>
        <row r="168">
          <cell r="B168">
            <v>4333</v>
          </cell>
          <cell r="C168" t="str">
            <v>DISPO</v>
          </cell>
          <cell r="E168" t="str">
            <v>PCE</v>
          </cell>
          <cell r="F168">
            <v>35</v>
          </cell>
        </row>
        <row r="169">
          <cell r="B169">
            <v>4353</v>
          </cell>
          <cell r="C169" t="str">
            <v>DISPO</v>
          </cell>
          <cell r="E169" t="str">
            <v>PCE</v>
          </cell>
          <cell r="F169">
            <v>31</v>
          </cell>
        </row>
        <row r="170">
          <cell r="B170">
            <v>4354</v>
          </cell>
          <cell r="C170" t="str">
            <v>DISPO</v>
          </cell>
          <cell r="E170" t="str">
            <v>PCE</v>
          </cell>
          <cell r="F170">
            <v>77</v>
          </cell>
        </row>
        <row r="171">
          <cell r="B171">
            <v>4355</v>
          </cell>
          <cell r="C171" t="str">
            <v>DISPO</v>
          </cell>
          <cell r="E171" t="str">
            <v>PCE</v>
          </cell>
          <cell r="F171">
            <v>90</v>
          </cell>
        </row>
        <row r="172">
          <cell r="B172">
            <v>4370</v>
          </cell>
          <cell r="C172" t="str">
            <v>DISPO</v>
          </cell>
          <cell r="E172" t="str">
            <v>PCE</v>
          </cell>
          <cell r="F172">
            <v>2</v>
          </cell>
        </row>
        <row r="173">
          <cell r="B173">
            <v>4385</v>
          </cell>
          <cell r="C173" t="str">
            <v>DISPO</v>
          </cell>
          <cell r="E173" t="str">
            <v>PCE</v>
          </cell>
          <cell r="F173">
            <v>3</v>
          </cell>
        </row>
        <row r="174">
          <cell r="B174">
            <v>4390</v>
          </cell>
          <cell r="C174" t="str">
            <v>DISPO</v>
          </cell>
          <cell r="E174" t="str">
            <v>PCE</v>
          </cell>
          <cell r="F174">
            <v>1</v>
          </cell>
        </row>
        <row r="175">
          <cell r="B175">
            <v>4400</v>
          </cell>
          <cell r="C175" t="str">
            <v>DISPO</v>
          </cell>
          <cell r="E175" t="str">
            <v>PCE</v>
          </cell>
          <cell r="F175">
            <v>101</v>
          </cell>
        </row>
        <row r="176">
          <cell r="B176">
            <v>4401</v>
          </cell>
          <cell r="C176" t="str">
            <v>DISPO</v>
          </cell>
          <cell r="E176" t="str">
            <v>PCE</v>
          </cell>
          <cell r="F176">
            <v>85</v>
          </cell>
        </row>
        <row r="177">
          <cell r="B177">
            <v>4410</v>
          </cell>
          <cell r="C177" t="str">
            <v>DISPO</v>
          </cell>
          <cell r="E177" t="str">
            <v>PCE</v>
          </cell>
          <cell r="F177">
            <v>22</v>
          </cell>
        </row>
        <row r="178">
          <cell r="B178">
            <v>4437</v>
          </cell>
          <cell r="C178" t="str">
            <v>DISPO</v>
          </cell>
          <cell r="E178" t="str">
            <v>PCE</v>
          </cell>
          <cell r="F178">
            <v>100</v>
          </cell>
        </row>
        <row r="179">
          <cell r="B179">
            <v>4452</v>
          </cell>
          <cell r="C179" t="str">
            <v>DISPO</v>
          </cell>
          <cell r="E179" t="str">
            <v>PCE</v>
          </cell>
          <cell r="F179">
            <v>494</v>
          </cell>
        </row>
        <row r="180">
          <cell r="B180">
            <v>4496</v>
          </cell>
          <cell r="C180" t="str">
            <v>DISPO</v>
          </cell>
          <cell r="E180" t="str">
            <v>PCE</v>
          </cell>
          <cell r="F180">
            <v>1</v>
          </cell>
        </row>
        <row r="181">
          <cell r="B181">
            <v>4501</v>
          </cell>
          <cell r="C181" t="str">
            <v>DISPO</v>
          </cell>
          <cell r="E181" t="str">
            <v>PCE</v>
          </cell>
          <cell r="F181">
            <v>7</v>
          </cell>
        </row>
        <row r="182">
          <cell r="B182">
            <v>4513</v>
          </cell>
          <cell r="C182" t="str">
            <v>DISPO</v>
          </cell>
          <cell r="E182" t="str">
            <v>PCE</v>
          </cell>
          <cell r="F182">
            <v>4</v>
          </cell>
        </row>
        <row r="183">
          <cell r="B183">
            <v>4520</v>
          </cell>
          <cell r="C183" t="str">
            <v>DISPO</v>
          </cell>
          <cell r="E183" t="str">
            <v>PCE</v>
          </cell>
          <cell r="F183">
            <v>10</v>
          </cell>
        </row>
        <row r="184">
          <cell r="B184">
            <v>4549</v>
          </cell>
          <cell r="C184" t="str">
            <v>DISPO</v>
          </cell>
          <cell r="E184" t="str">
            <v>PCE</v>
          </cell>
          <cell r="F184">
            <v>1</v>
          </cell>
        </row>
        <row r="185">
          <cell r="B185">
            <v>4550</v>
          </cell>
          <cell r="C185" t="str">
            <v>DISPO</v>
          </cell>
          <cell r="E185" t="str">
            <v>PCE</v>
          </cell>
          <cell r="F185">
            <v>5</v>
          </cell>
        </row>
        <row r="186">
          <cell r="B186">
            <v>4555</v>
          </cell>
          <cell r="C186" t="str">
            <v>DISPO</v>
          </cell>
          <cell r="E186" t="str">
            <v>PCE</v>
          </cell>
          <cell r="F186">
            <v>1</v>
          </cell>
        </row>
        <row r="187">
          <cell r="B187">
            <v>4566</v>
          </cell>
          <cell r="C187" t="str">
            <v>DISPO</v>
          </cell>
          <cell r="E187" t="str">
            <v>PCE</v>
          </cell>
          <cell r="F187">
            <v>16</v>
          </cell>
        </row>
        <row r="188">
          <cell r="B188">
            <v>4588</v>
          </cell>
          <cell r="C188" t="str">
            <v>DISPO</v>
          </cell>
          <cell r="E188" t="str">
            <v>PCE</v>
          </cell>
          <cell r="F188">
            <v>6</v>
          </cell>
        </row>
        <row r="189">
          <cell r="B189">
            <v>4610</v>
          </cell>
          <cell r="C189" t="str">
            <v>DISPO</v>
          </cell>
          <cell r="E189" t="str">
            <v>PCE</v>
          </cell>
          <cell r="F189">
            <v>2</v>
          </cell>
        </row>
        <row r="190">
          <cell r="B190">
            <v>4637</v>
          </cell>
          <cell r="C190" t="str">
            <v>DISPO</v>
          </cell>
          <cell r="E190" t="str">
            <v>PCE</v>
          </cell>
          <cell r="F190">
            <v>2</v>
          </cell>
        </row>
        <row r="191">
          <cell r="B191">
            <v>4676</v>
          </cell>
          <cell r="C191" t="str">
            <v>DISPO</v>
          </cell>
          <cell r="E191" t="str">
            <v>PCE</v>
          </cell>
          <cell r="F191">
            <v>1</v>
          </cell>
        </row>
        <row r="192">
          <cell r="B192">
            <v>4682</v>
          </cell>
          <cell r="C192" t="str">
            <v>DISPO</v>
          </cell>
          <cell r="E192" t="str">
            <v>PCE</v>
          </cell>
          <cell r="F192">
            <v>3</v>
          </cell>
        </row>
        <row r="193">
          <cell r="B193">
            <v>4716</v>
          </cell>
          <cell r="C193" t="str">
            <v>DISPO</v>
          </cell>
          <cell r="E193" t="str">
            <v>PCE</v>
          </cell>
          <cell r="F193">
            <v>4</v>
          </cell>
        </row>
        <row r="194">
          <cell r="B194">
            <v>4809</v>
          </cell>
          <cell r="C194" t="str">
            <v>DISPO</v>
          </cell>
          <cell r="E194" t="str">
            <v>PCE</v>
          </cell>
          <cell r="F194">
            <v>1</v>
          </cell>
        </row>
        <row r="195">
          <cell r="B195">
            <v>4810</v>
          </cell>
          <cell r="C195" t="str">
            <v>DISPO</v>
          </cell>
          <cell r="E195" t="str">
            <v>PCE</v>
          </cell>
          <cell r="F195">
            <v>24</v>
          </cell>
        </row>
        <row r="196">
          <cell r="B196">
            <v>4811</v>
          </cell>
          <cell r="C196" t="str">
            <v>DISPO</v>
          </cell>
          <cell r="E196" t="str">
            <v>PCE</v>
          </cell>
          <cell r="F196">
            <v>3</v>
          </cell>
        </row>
        <row r="197">
          <cell r="B197">
            <v>4812</v>
          </cell>
          <cell r="C197" t="str">
            <v>DISPO</v>
          </cell>
          <cell r="E197" t="str">
            <v>PCE</v>
          </cell>
          <cell r="F197">
            <v>3</v>
          </cell>
        </row>
        <row r="198">
          <cell r="B198">
            <v>4860</v>
          </cell>
          <cell r="C198" t="str">
            <v>DISPO</v>
          </cell>
          <cell r="E198" t="str">
            <v>PCE</v>
          </cell>
          <cell r="F198">
            <v>33</v>
          </cell>
        </row>
        <row r="199">
          <cell r="B199">
            <v>4861</v>
          </cell>
          <cell r="C199" t="str">
            <v>DISPO</v>
          </cell>
          <cell r="E199" t="str">
            <v>PCE</v>
          </cell>
          <cell r="F199">
            <v>72</v>
          </cell>
        </row>
        <row r="200">
          <cell r="B200">
            <v>4862</v>
          </cell>
          <cell r="C200" t="str">
            <v>DISPO</v>
          </cell>
          <cell r="E200" t="str">
            <v>PCE</v>
          </cell>
          <cell r="F200">
            <v>42</v>
          </cell>
        </row>
        <row r="201">
          <cell r="B201">
            <v>4863</v>
          </cell>
          <cell r="C201" t="str">
            <v>DISPO</v>
          </cell>
          <cell r="E201" t="str">
            <v>PCE</v>
          </cell>
          <cell r="F201">
            <v>33</v>
          </cell>
        </row>
        <row r="202">
          <cell r="B202">
            <v>4881</v>
          </cell>
          <cell r="C202" t="str">
            <v>DISPO</v>
          </cell>
          <cell r="E202" t="str">
            <v>PCE</v>
          </cell>
          <cell r="F202">
            <v>1</v>
          </cell>
        </row>
        <row r="203">
          <cell r="B203">
            <v>4921</v>
          </cell>
          <cell r="C203" t="str">
            <v>DISPO</v>
          </cell>
          <cell r="E203" t="str">
            <v>U</v>
          </cell>
          <cell r="F203">
            <v>11</v>
          </cell>
        </row>
        <row r="204">
          <cell r="B204">
            <v>4928</v>
          </cell>
          <cell r="C204" t="str">
            <v>DISPO</v>
          </cell>
          <cell r="E204" t="str">
            <v>PCE</v>
          </cell>
          <cell r="F204">
            <v>3</v>
          </cell>
        </row>
        <row r="205">
          <cell r="B205">
            <v>4948</v>
          </cell>
          <cell r="C205" t="str">
            <v>DISPO</v>
          </cell>
          <cell r="E205" t="str">
            <v>PCE</v>
          </cell>
          <cell r="F205">
            <v>3</v>
          </cell>
        </row>
        <row r="206">
          <cell r="B206">
            <v>4954</v>
          </cell>
          <cell r="C206" t="str">
            <v>DISPO</v>
          </cell>
          <cell r="E206" t="str">
            <v>PCE</v>
          </cell>
          <cell r="F206">
            <v>5</v>
          </cell>
        </row>
        <row r="207">
          <cell r="B207">
            <v>4958</v>
          </cell>
          <cell r="C207" t="str">
            <v>DISPO</v>
          </cell>
          <cell r="E207" t="str">
            <v>PCE</v>
          </cell>
          <cell r="F207">
            <v>1</v>
          </cell>
        </row>
        <row r="208">
          <cell r="B208">
            <v>4960</v>
          </cell>
          <cell r="C208" t="str">
            <v>DISPO</v>
          </cell>
          <cell r="E208" t="str">
            <v>PCE</v>
          </cell>
          <cell r="F208">
            <v>438</v>
          </cell>
        </row>
        <row r="209">
          <cell r="B209">
            <v>4961</v>
          </cell>
          <cell r="C209" t="str">
            <v>DISPO</v>
          </cell>
          <cell r="E209" t="str">
            <v>PCE</v>
          </cell>
          <cell r="F209">
            <v>260</v>
          </cell>
        </row>
        <row r="210">
          <cell r="B210">
            <v>4962</v>
          </cell>
          <cell r="C210" t="str">
            <v>DISPO</v>
          </cell>
          <cell r="E210" t="str">
            <v>PCE</v>
          </cell>
          <cell r="F210">
            <v>167</v>
          </cell>
        </row>
        <row r="211">
          <cell r="B211">
            <v>30013</v>
          </cell>
          <cell r="C211" t="str">
            <v>DISPO</v>
          </cell>
          <cell r="E211" t="str">
            <v>PCE</v>
          </cell>
          <cell r="F211">
            <v>22</v>
          </cell>
        </row>
        <row r="212">
          <cell r="B212">
            <v>30019</v>
          </cell>
          <cell r="C212" t="str">
            <v>DISPO</v>
          </cell>
          <cell r="E212" t="str">
            <v>PCE</v>
          </cell>
          <cell r="F212">
            <v>6</v>
          </cell>
        </row>
        <row r="213">
          <cell r="B213">
            <v>30059</v>
          </cell>
          <cell r="C213" t="str">
            <v>DISPO</v>
          </cell>
          <cell r="E213" t="str">
            <v>PCE</v>
          </cell>
          <cell r="F213">
            <v>61</v>
          </cell>
        </row>
        <row r="214">
          <cell r="B214">
            <v>30072</v>
          </cell>
          <cell r="C214" t="str">
            <v>DISPO</v>
          </cell>
          <cell r="E214" t="str">
            <v>PCE</v>
          </cell>
          <cell r="F214">
            <v>2</v>
          </cell>
        </row>
        <row r="215">
          <cell r="B215">
            <v>30081</v>
          </cell>
          <cell r="C215" t="str">
            <v>DISPO</v>
          </cell>
          <cell r="E215" t="str">
            <v>PCE</v>
          </cell>
          <cell r="F215">
            <v>5</v>
          </cell>
        </row>
        <row r="216">
          <cell r="B216">
            <v>30085</v>
          </cell>
          <cell r="C216" t="str">
            <v>DISPO</v>
          </cell>
          <cell r="E216" t="str">
            <v>PCE</v>
          </cell>
          <cell r="F216">
            <v>15</v>
          </cell>
        </row>
        <row r="217">
          <cell r="B217">
            <v>30089</v>
          </cell>
          <cell r="C217" t="str">
            <v>DISPO</v>
          </cell>
          <cell r="E217" t="str">
            <v>PCE</v>
          </cell>
          <cell r="F217">
            <v>2</v>
          </cell>
        </row>
        <row r="218">
          <cell r="B218">
            <v>30092</v>
          </cell>
          <cell r="C218" t="str">
            <v>DISPO</v>
          </cell>
          <cell r="E218" t="str">
            <v>PCE</v>
          </cell>
          <cell r="F218">
            <v>7</v>
          </cell>
        </row>
        <row r="219">
          <cell r="B219">
            <v>30115</v>
          </cell>
          <cell r="C219" t="str">
            <v>DISPO</v>
          </cell>
          <cell r="E219" t="str">
            <v>PCE</v>
          </cell>
          <cell r="F219">
            <v>1</v>
          </cell>
        </row>
        <row r="220">
          <cell r="B220">
            <v>30178</v>
          </cell>
          <cell r="C220" t="str">
            <v>DISPO</v>
          </cell>
          <cell r="E220" t="str">
            <v>PCE</v>
          </cell>
          <cell r="F220">
            <v>5</v>
          </cell>
        </row>
        <row r="221">
          <cell r="B221">
            <v>30183</v>
          </cell>
          <cell r="C221" t="str">
            <v>DISPO</v>
          </cell>
          <cell r="E221" t="str">
            <v>PCE</v>
          </cell>
          <cell r="F221">
            <v>12</v>
          </cell>
        </row>
        <row r="222">
          <cell r="B222">
            <v>30186</v>
          </cell>
          <cell r="C222" t="str">
            <v>DISPO</v>
          </cell>
          <cell r="E222" t="str">
            <v>PCE</v>
          </cell>
          <cell r="F222">
            <v>234</v>
          </cell>
        </row>
        <row r="223">
          <cell r="B223">
            <v>30198</v>
          </cell>
          <cell r="C223" t="str">
            <v>DISPO</v>
          </cell>
          <cell r="E223" t="str">
            <v>PCE</v>
          </cell>
          <cell r="F223">
            <v>12</v>
          </cell>
        </row>
        <row r="224">
          <cell r="B224">
            <v>30248</v>
          </cell>
          <cell r="C224" t="str">
            <v>DISPO</v>
          </cell>
          <cell r="E224" t="str">
            <v>PCE</v>
          </cell>
          <cell r="F224">
            <v>36</v>
          </cell>
        </row>
        <row r="225">
          <cell r="B225">
            <v>30250</v>
          </cell>
          <cell r="C225" t="str">
            <v>DISPO</v>
          </cell>
          <cell r="E225" t="str">
            <v>PCE</v>
          </cell>
          <cell r="F225">
            <v>30</v>
          </cell>
        </row>
        <row r="226">
          <cell r="B226">
            <v>30277</v>
          </cell>
          <cell r="C226" t="str">
            <v>DISPO</v>
          </cell>
          <cell r="E226" t="str">
            <v>PCE</v>
          </cell>
          <cell r="F226">
            <v>3</v>
          </cell>
        </row>
        <row r="227">
          <cell r="B227">
            <v>30292</v>
          </cell>
          <cell r="C227" t="str">
            <v>DISPO</v>
          </cell>
          <cell r="E227" t="str">
            <v>PCE</v>
          </cell>
          <cell r="F227">
            <v>2</v>
          </cell>
        </row>
        <row r="228">
          <cell r="B228">
            <v>30299</v>
          </cell>
          <cell r="C228" t="str">
            <v>DISPO</v>
          </cell>
          <cell r="E228" t="str">
            <v>PCE</v>
          </cell>
          <cell r="F228">
            <v>5</v>
          </cell>
        </row>
        <row r="229">
          <cell r="B229">
            <v>30317</v>
          </cell>
          <cell r="C229" t="str">
            <v>DISPO</v>
          </cell>
          <cell r="E229" t="str">
            <v>U</v>
          </cell>
          <cell r="F229">
            <v>10</v>
          </cell>
        </row>
        <row r="230">
          <cell r="B230">
            <v>30365</v>
          </cell>
          <cell r="C230" t="str">
            <v>DISPO</v>
          </cell>
          <cell r="E230" t="str">
            <v>PCE</v>
          </cell>
          <cell r="F230">
            <v>2</v>
          </cell>
        </row>
        <row r="231">
          <cell r="B231">
            <v>30503</v>
          </cell>
          <cell r="C231" t="str">
            <v>DISPO</v>
          </cell>
          <cell r="E231" t="str">
            <v>PCE</v>
          </cell>
          <cell r="F231">
            <v>20</v>
          </cell>
        </row>
        <row r="232">
          <cell r="B232">
            <v>30504</v>
          </cell>
          <cell r="C232" t="str">
            <v>DISPO</v>
          </cell>
          <cell r="E232" t="str">
            <v>PCE</v>
          </cell>
          <cell r="F232">
            <v>5</v>
          </cell>
        </row>
        <row r="233">
          <cell r="B233">
            <v>30515</v>
          </cell>
          <cell r="C233" t="str">
            <v>DISPO</v>
          </cell>
          <cell r="E233" t="str">
            <v>PCE</v>
          </cell>
          <cell r="F233">
            <v>1</v>
          </cell>
        </row>
        <row r="234">
          <cell r="B234">
            <v>30609</v>
          </cell>
          <cell r="C234" t="str">
            <v>DISPO</v>
          </cell>
          <cell r="E234" t="str">
            <v>PCE</v>
          </cell>
          <cell r="F234">
            <v>8</v>
          </cell>
        </row>
        <row r="235">
          <cell r="B235">
            <v>30610</v>
          </cell>
          <cell r="C235" t="str">
            <v>DISPO</v>
          </cell>
          <cell r="E235" t="str">
            <v>PCE</v>
          </cell>
          <cell r="F235">
            <v>7</v>
          </cell>
        </row>
        <row r="236">
          <cell r="B236">
            <v>30611</v>
          </cell>
          <cell r="C236" t="str">
            <v>DISPO</v>
          </cell>
          <cell r="E236" t="str">
            <v>PCE</v>
          </cell>
          <cell r="F236">
            <v>1</v>
          </cell>
        </row>
        <row r="237">
          <cell r="B237">
            <v>30816</v>
          </cell>
          <cell r="C237" t="str">
            <v>DISPO</v>
          </cell>
          <cell r="E237" t="str">
            <v>PCE</v>
          </cell>
          <cell r="F237">
            <v>2</v>
          </cell>
        </row>
        <row r="238">
          <cell r="B238">
            <v>30819</v>
          </cell>
          <cell r="C238" t="str">
            <v>DISPO</v>
          </cell>
          <cell r="E238" t="str">
            <v>PCE</v>
          </cell>
          <cell r="F238">
            <v>1</v>
          </cell>
        </row>
        <row r="239">
          <cell r="B239">
            <v>30836</v>
          </cell>
          <cell r="C239" t="str">
            <v>DISPO</v>
          </cell>
          <cell r="E239" t="str">
            <v>PCE</v>
          </cell>
          <cell r="F239">
            <v>1</v>
          </cell>
        </row>
        <row r="240">
          <cell r="B240">
            <v>30837</v>
          </cell>
          <cell r="C240" t="str">
            <v>DISPO</v>
          </cell>
          <cell r="E240" t="str">
            <v>PCE</v>
          </cell>
          <cell r="F240">
            <v>3</v>
          </cell>
        </row>
        <row r="241">
          <cell r="B241">
            <v>30876</v>
          </cell>
          <cell r="C241" t="str">
            <v>DISPO</v>
          </cell>
          <cell r="E241" t="str">
            <v>PCE</v>
          </cell>
          <cell r="F241">
            <v>2</v>
          </cell>
        </row>
        <row r="242">
          <cell r="B242">
            <v>30939</v>
          </cell>
          <cell r="C242" t="str">
            <v>DISPO</v>
          </cell>
          <cell r="E242" t="str">
            <v>PCE</v>
          </cell>
          <cell r="F242">
            <v>153</v>
          </cell>
        </row>
        <row r="243">
          <cell r="B243">
            <v>30972</v>
          </cell>
          <cell r="C243" t="str">
            <v>DISPO</v>
          </cell>
          <cell r="E243" t="str">
            <v>PCE</v>
          </cell>
          <cell r="F243">
            <v>33</v>
          </cell>
        </row>
        <row r="244">
          <cell r="B244">
            <v>30977</v>
          </cell>
          <cell r="C244" t="str">
            <v>DISPO</v>
          </cell>
          <cell r="E244" t="str">
            <v>PCE</v>
          </cell>
          <cell r="F244">
            <v>6036</v>
          </cell>
        </row>
        <row r="245">
          <cell r="B245">
            <v>30990</v>
          </cell>
          <cell r="C245" t="str">
            <v>DISPO</v>
          </cell>
          <cell r="E245" t="str">
            <v>PCE</v>
          </cell>
          <cell r="F245">
            <v>3</v>
          </cell>
        </row>
        <row r="246">
          <cell r="B246">
            <v>31054</v>
          </cell>
          <cell r="C246" t="str">
            <v>DISPO</v>
          </cell>
          <cell r="E246" t="str">
            <v>PCE</v>
          </cell>
          <cell r="F246">
            <v>4</v>
          </cell>
        </row>
        <row r="247">
          <cell r="B247">
            <v>31168</v>
          </cell>
          <cell r="C247" t="str">
            <v>DISPO</v>
          </cell>
          <cell r="E247" t="str">
            <v>PCE</v>
          </cell>
          <cell r="F247">
            <v>2</v>
          </cell>
        </row>
        <row r="248">
          <cell r="B248">
            <v>31169</v>
          </cell>
          <cell r="C248" t="str">
            <v>DISPO</v>
          </cell>
          <cell r="E248" t="str">
            <v>PCE</v>
          </cell>
          <cell r="F248">
            <v>2</v>
          </cell>
        </row>
        <row r="249">
          <cell r="B249">
            <v>31236</v>
          </cell>
          <cell r="C249" t="str">
            <v>DISPO</v>
          </cell>
          <cell r="E249" t="str">
            <v>PCE</v>
          </cell>
          <cell r="F249">
            <v>1</v>
          </cell>
        </row>
        <row r="250">
          <cell r="B250">
            <v>31281</v>
          </cell>
          <cell r="C250" t="str">
            <v>DISPO</v>
          </cell>
          <cell r="E250" t="str">
            <v>PCE</v>
          </cell>
          <cell r="F250">
            <v>26</v>
          </cell>
        </row>
        <row r="251">
          <cell r="B251">
            <v>31285</v>
          </cell>
          <cell r="C251" t="str">
            <v>DISPO</v>
          </cell>
          <cell r="E251" t="str">
            <v>PCE</v>
          </cell>
          <cell r="F251">
            <v>2</v>
          </cell>
        </row>
        <row r="252">
          <cell r="B252">
            <v>31286</v>
          </cell>
          <cell r="C252" t="str">
            <v>DISPO</v>
          </cell>
          <cell r="E252" t="str">
            <v>PCE</v>
          </cell>
          <cell r="F252">
            <v>3</v>
          </cell>
        </row>
        <row r="253">
          <cell r="B253">
            <v>31287</v>
          </cell>
          <cell r="C253" t="str">
            <v>DISPO</v>
          </cell>
          <cell r="E253" t="str">
            <v>PCE</v>
          </cell>
          <cell r="F253">
            <v>2</v>
          </cell>
        </row>
        <row r="254">
          <cell r="B254">
            <v>31288</v>
          </cell>
          <cell r="C254" t="str">
            <v>DISPO</v>
          </cell>
          <cell r="E254" t="str">
            <v>PCE</v>
          </cell>
          <cell r="F254">
            <v>5</v>
          </cell>
        </row>
        <row r="255">
          <cell r="B255">
            <v>31290</v>
          </cell>
          <cell r="C255" t="str">
            <v>DISPO</v>
          </cell>
          <cell r="E255" t="str">
            <v>PCE</v>
          </cell>
          <cell r="F255">
            <v>5</v>
          </cell>
        </row>
        <row r="256">
          <cell r="B256">
            <v>31291</v>
          </cell>
          <cell r="C256" t="str">
            <v>DISPO</v>
          </cell>
          <cell r="E256" t="str">
            <v>PCE</v>
          </cell>
          <cell r="F256">
            <v>12</v>
          </cell>
        </row>
        <row r="257">
          <cell r="B257">
            <v>31292</v>
          </cell>
          <cell r="C257" t="str">
            <v>DISPO</v>
          </cell>
          <cell r="E257" t="str">
            <v>PCE</v>
          </cell>
          <cell r="F257">
            <v>13</v>
          </cell>
        </row>
        <row r="258">
          <cell r="B258">
            <v>31293</v>
          </cell>
          <cell r="C258" t="str">
            <v>DISPO</v>
          </cell>
          <cell r="E258" t="str">
            <v>PCE</v>
          </cell>
          <cell r="F258">
            <v>13</v>
          </cell>
        </row>
        <row r="259">
          <cell r="B259">
            <v>31300</v>
          </cell>
          <cell r="C259" t="str">
            <v>DISPO</v>
          </cell>
          <cell r="E259" t="str">
            <v>PCE</v>
          </cell>
          <cell r="F259">
            <v>2</v>
          </cell>
        </row>
        <row r="260">
          <cell r="B260">
            <v>31301</v>
          </cell>
          <cell r="C260" t="str">
            <v>DISPO</v>
          </cell>
          <cell r="E260" t="str">
            <v>PCE</v>
          </cell>
          <cell r="F260">
            <v>5</v>
          </cell>
        </row>
        <row r="261">
          <cell r="B261">
            <v>31305</v>
          </cell>
          <cell r="C261" t="str">
            <v>DISPO</v>
          </cell>
          <cell r="E261" t="str">
            <v>PCE</v>
          </cell>
          <cell r="F261">
            <v>5</v>
          </cell>
        </row>
        <row r="262">
          <cell r="B262">
            <v>31307</v>
          </cell>
          <cell r="C262" t="str">
            <v>DISPO</v>
          </cell>
          <cell r="E262" t="str">
            <v>PCE</v>
          </cell>
          <cell r="F262">
            <v>40</v>
          </cell>
        </row>
        <row r="263">
          <cell r="B263">
            <v>31310</v>
          </cell>
          <cell r="C263" t="str">
            <v>DISPO</v>
          </cell>
          <cell r="E263" t="str">
            <v>PCE</v>
          </cell>
          <cell r="F263">
            <v>161</v>
          </cell>
        </row>
        <row r="264">
          <cell r="B264">
            <v>31517</v>
          </cell>
          <cell r="C264" t="str">
            <v>DISPO</v>
          </cell>
          <cell r="E264" t="str">
            <v>PCE</v>
          </cell>
          <cell r="F264">
            <v>1</v>
          </cell>
        </row>
        <row r="265">
          <cell r="B265">
            <v>31519</v>
          </cell>
          <cell r="C265" t="str">
            <v>DISPO</v>
          </cell>
          <cell r="E265" t="str">
            <v>PCE</v>
          </cell>
          <cell r="F265">
            <v>50</v>
          </cell>
        </row>
        <row r="266">
          <cell r="B266">
            <v>31536</v>
          </cell>
          <cell r="C266" t="str">
            <v>DISPO</v>
          </cell>
          <cell r="E266" t="str">
            <v>PCE</v>
          </cell>
          <cell r="F266">
            <v>2</v>
          </cell>
        </row>
        <row r="267">
          <cell r="B267">
            <v>31544</v>
          </cell>
          <cell r="C267" t="str">
            <v>DISPO</v>
          </cell>
          <cell r="E267" t="str">
            <v>PCE</v>
          </cell>
          <cell r="F267">
            <v>2</v>
          </cell>
        </row>
        <row r="268">
          <cell r="B268">
            <v>31552</v>
          </cell>
          <cell r="C268" t="str">
            <v>DISPO</v>
          </cell>
          <cell r="E268" t="str">
            <v>PCE</v>
          </cell>
          <cell r="F268">
            <v>8</v>
          </cell>
        </row>
        <row r="269">
          <cell r="B269">
            <v>31611</v>
          </cell>
          <cell r="C269" t="str">
            <v>DISPO</v>
          </cell>
          <cell r="E269" t="str">
            <v>PCE</v>
          </cell>
          <cell r="F269">
            <v>2</v>
          </cell>
        </row>
        <row r="270">
          <cell r="B270">
            <v>31613</v>
          </cell>
          <cell r="C270" t="str">
            <v>DISPO</v>
          </cell>
          <cell r="E270" t="str">
            <v>PCE</v>
          </cell>
          <cell r="F270">
            <v>2</v>
          </cell>
        </row>
        <row r="271">
          <cell r="B271">
            <v>31616</v>
          </cell>
          <cell r="C271" t="str">
            <v>DISPO</v>
          </cell>
          <cell r="E271" t="str">
            <v>PCE</v>
          </cell>
          <cell r="F271">
            <v>2948</v>
          </cell>
        </row>
        <row r="272">
          <cell r="B272">
            <v>31643</v>
          </cell>
          <cell r="C272" t="str">
            <v>DISPO</v>
          </cell>
          <cell r="E272" t="str">
            <v>PCE</v>
          </cell>
          <cell r="F272">
            <v>8060</v>
          </cell>
        </row>
        <row r="273">
          <cell r="B273">
            <v>31644</v>
          </cell>
          <cell r="C273" t="str">
            <v>DISPO</v>
          </cell>
          <cell r="E273" t="str">
            <v>PCE</v>
          </cell>
          <cell r="F273">
            <v>35</v>
          </cell>
        </row>
        <row r="274">
          <cell r="B274">
            <v>31669</v>
          </cell>
          <cell r="C274" t="str">
            <v>DISPO</v>
          </cell>
          <cell r="E274" t="str">
            <v>PCE</v>
          </cell>
          <cell r="F274">
            <v>2</v>
          </cell>
        </row>
        <row r="275">
          <cell r="B275">
            <v>31670</v>
          </cell>
          <cell r="C275" t="str">
            <v>DISPO</v>
          </cell>
          <cell r="E275" t="str">
            <v>PCE</v>
          </cell>
          <cell r="F275">
            <v>3</v>
          </cell>
        </row>
        <row r="276">
          <cell r="B276">
            <v>31674</v>
          </cell>
          <cell r="C276" t="str">
            <v>DISPO</v>
          </cell>
          <cell r="E276" t="str">
            <v>PCE</v>
          </cell>
          <cell r="F276">
            <v>2</v>
          </cell>
        </row>
        <row r="277">
          <cell r="B277">
            <v>31675</v>
          </cell>
          <cell r="C277" t="str">
            <v>DISPO</v>
          </cell>
          <cell r="E277" t="str">
            <v>PCE</v>
          </cell>
          <cell r="F277">
            <v>11</v>
          </cell>
        </row>
        <row r="278">
          <cell r="B278">
            <v>31691</v>
          </cell>
          <cell r="C278" t="str">
            <v>DISPO</v>
          </cell>
          <cell r="E278" t="str">
            <v>U</v>
          </cell>
          <cell r="F278">
            <v>2</v>
          </cell>
        </row>
        <row r="279">
          <cell r="B279">
            <v>31696</v>
          </cell>
          <cell r="C279" t="str">
            <v>DISPO</v>
          </cell>
          <cell r="E279" t="str">
            <v>PCE</v>
          </cell>
          <cell r="F279">
            <v>3</v>
          </cell>
        </row>
        <row r="280">
          <cell r="B280">
            <v>31697</v>
          </cell>
          <cell r="C280" t="str">
            <v>DISPO</v>
          </cell>
          <cell r="E280" t="str">
            <v>PCE</v>
          </cell>
          <cell r="F280">
            <v>2</v>
          </cell>
        </row>
        <row r="281">
          <cell r="B281">
            <v>31717</v>
          </cell>
          <cell r="C281" t="str">
            <v>DISPO</v>
          </cell>
          <cell r="E281" t="str">
            <v>PCE</v>
          </cell>
          <cell r="F281">
            <v>1</v>
          </cell>
        </row>
        <row r="282">
          <cell r="B282">
            <v>31740</v>
          </cell>
          <cell r="C282" t="str">
            <v>DISPO</v>
          </cell>
          <cell r="E282" t="str">
            <v>PCE</v>
          </cell>
          <cell r="F282">
            <v>15</v>
          </cell>
        </row>
        <row r="283">
          <cell r="B283">
            <v>31823</v>
          </cell>
          <cell r="C283" t="str">
            <v>DISPO</v>
          </cell>
          <cell r="E283" t="str">
            <v>PCE</v>
          </cell>
          <cell r="F283">
            <v>1</v>
          </cell>
        </row>
        <row r="284">
          <cell r="B284">
            <v>31824</v>
          </cell>
          <cell r="C284" t="str">
            <v>DISPO</v>
          </cell>
          <cell r="E284" t="str">
            <v>PCE</v>
          </cell>
          <cell r="F284">
            <v>23</v>
          </cell>
        </row>
        <row r="285">
          <cell r="B285">
            <v>31826</v>
          </cell>
          <cell r="C285" t="str">
            <v>DISPO</v>
          </cell>
          <cell r="E285" t="str">
            <v>PCE</v>
          </cell>
          <cell r="F285">
            <v>1</v>
          </cell>
        </row>
        <row r="286">
          <cell r="B286">
            <v>31841</v>
          </cell>
          <cell r="C286" t="str">
            <v>DISPO</v>
          </cell>
          <cell r="E286" t="str">
            <v>PCE</v>
          </cell>
          <cell r="F286">
            <v>61</v>
          </cell>
        </row>
        <row r="287">
          <cell r="B287">
            <v>31842</v>
          </cell>
          <cell r="C287" t="str">
            <v>DISPO</v>
          </cell>
          <cell r="E287" t="str">
            <v>PCE</v>
          </cell>
          <cell r="F287">
            <v>50</v>
          </cell>
        </row>
        <row r="288">
          <cell r="B288">
            <v>32069</v>
          </cell>
          <cell r="C288" t="str">
            <v>DISPO</v>
          </cell>
          <cell r="E288" t="str">
            <v>PCE</v>
          </cell>
          <cell r="F288">
            <v>9</v>
          </cell>
        </row>
        <row r="289">
          <cell r="B289">
            <v>32335</v>
          </cell>
          <cell r="C289" t="str">
            <v>DISPO</v>
          </cell>
          <cell r="E289" t="str">
            <v>PCE</v>
          </cell>
          <cell r="F289">
            <v>237</v>
          </cell>
        </row>
        <row r="290">
          <cell r="B290">
            <v>34002</v>
          </cell>
          <cell r="C290" t="str">
            <v>DISPO</v>
          </cell>
          <cell r="E290" t="str">
            <v>PCE</v>
          </cell>
          <cell r="F290">
            <v>14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UMP Articles"/>
    </sheetNames>
    <sheetDataSet>
      <sheetData sheetId="0">
        <row r="1">
          <cell r="A1" t="str">
            <v>Article</v>
          </cell>
          <cell r="B1" t="str">
            <v>Type de coût</v>
          </cell>
          <cell r="C1" t="str">
            <v>Utiliser suivis par défaut</v>
          </cell>
          <cell r="D1" t="str">
            <v>Stock valorisé</v>
          </cell>
          <cell r="E1" t="str">
            <v>Basés/calcul</v>
          </cell>
          <cell r="F1" t="str">
            <v>Taille de lot</v>
          </cell>
          <cell r="G1" t="str">
            <v>Perte production</v>
          </cell>
          <cell r="H1" t="str">
            <v>Coût unitaire</v>
          </cell>
        </row>
        <row r="2">
          <cell r="A2">
            <v>10</v>
          </cell>
          <cell r="B2" t="str">
            <v>Moyen</v>
          </cell>
          <cell r="D2" t="str">
            <v>*</v>
          </cell>
          <cell r="F2">
            <v>1</v>
          </cell>
          <cell r="G2">
            <v>0</v>
          </cell>
          <cell r="H2">
            <v>762222.03399999999</v>
          </cell>
        </row>
        <row r="3">
          <cell r="A3">
            <v>11</v>
          </cell>
          <cell r="B3" t="str">
            <v>Moyen</v>
          </cell>
          <cell r="D3" t="str">
            <v>*</v>
          </cell>
          <cell r="F3">
            <v>1</v>
          </cell>
          <cell r="G3">
            <v>0</v>
          </cell>
          <cell r="H3">
            <v>6272.13414545454</v>
          </cell>
        </row>
        <row r="4">
          <cell r="A4">
            <v>13</v>
          </cell>
          <cell r="B4" t="str">
            <v>Moyen</v>
          </cell>
          <cell r="D4" t="str">
            <v>*</v>
          </cell>
          <cell r="F4">
            <v>1</v>
          </cell>
          <cell r="G4">
            <v>0</v>
          </cell>
          <cell r="H4">
            <v>1708637</v>
          </cell>
        </row>
        <row r="5">
          <cell r="A5">
            <v>14</v>
          </cell>
          <cell r="B5" t="str">
            <v>Moyen</v>
          </cell>
          <cell r="D5" t="str">
            <v>*</v>
          </cell>
          <cell r="F5">
            <v>1</v>
          </cell>
          <cell r="G5">
            <v>0</v>
          </cell>
          <cell r="H5">
            <v>0</v>
          </cell>
        </row>
        <row r="6">
          <cell r="A6">
            <v>15</v>
          </cell>
          <cell r="B6" t="str">
            <v>Moyen</v>
          </cell>
          <cell r="D6" t="str">
            <v>*</v>
          </cell>
          <cell r="F6">
            <v>1</v>
          </cell>
          <cell r="G6">
            <v>0</v>
          </cell>
          <cell r="H6">
            <v>111731</v>
          </cell>
        </row>
        <row r="7">
          <cell r="A7">
            <v>16</v>
          </cell>
          <cell r="B7" t="str">
            <v>Moyen</v>
          </cell>
          <cell r="D7" t="str">
            <v>*</v>
          </cell>
          <cell r="F7">
            <v>1</v>
          </cell>
          <cell r="G7">
            <v>0</v>
          </cell>
          <cell r="H7">
            <v>550971</v>
          </cell>
        </row>
        <row r="8">
          <cell r="A8">
            <v>17</v>
          </cell>
          <cell r="B8" t="str">
            <v>Moyen</v>
          </cell>
          <cell r="D8" t="str">
            <v>*</v>
          </cell>
          <cell r="F8">
            <v>1</v>
          </cell>
          <cell r="G8">
            <v>0</v>
          </cell>
          <cell r="H8">
            <v>246681</v>
          </cell>
        </row>
        <row r="9">
          <cell r="A9">
            <v>18</v>
          </cell>
          <cell r="B9" t="str">
            <v>Moyen</v>
          </cell>
          <cell r="D9" t="str">
            <v>*</v>
          </cell>
          <cell r="F9">
            <v>1</v>
          </cell>
          <cell r="G9">
            <v>0</v>
          </cell>
          <cell r="H9">
            <v>6139.7575200000001</v>
          </cell>
        </row>
        <row r="10">
          <cell r="A10">
            <v>19</v>
          </cell>
          <cell r="B10" t="str">
            <v>Moyen</v>
          </cell>
          <cell r="D10" t="str">
            <v>*</v>
          </cell>
          <cell r="F10">
            <v>1</v>
          </cell>
          <cell r="G10">
            <v>0</v>
          </cell>
          <cell r="H10">
            <v>28782</v>
          </cell>
        </row>
        <row r="11">
          <cell r="A11">
            <v>20</v>
          </cell>
          <cell r="B11" t="str">
            <v>Moyen</v>
          </cell>
          <cell r="D11" t="str">
            <v>*</v>
          </cell>
          <cell r="F11">
            <v>1</v>
          </cell>
          <cell r="G11">
            <v>0</v>
          </cell>
          <cell r="H11">
            <v>0</v>
          </cell>
        </row>
        <row r="12">
          <cell r="A12">
            <v>21</v>
          </cell>
          <cell r="B12" t="str">
            <v>Moyen</v>
          </cell>
          <cell r="D12" t="str">
            <v>*</v>
          </cell>
          <cell r="F12">
            <v>1</v>
          </cell>
          <cell r="G12">
            <v>0</v>
          </cell>
          <cell r="H12">
            <v>0</v>
          </cell>
        </row>
        <row r="13">
          <cell r="A13">
            <v>22</v>
          </cell>
          <cell r="B13" t="str">
            <v>Moyen</v>
          </cell>
          <cell r="D13" t="str">
            <v>*</v>
          </cell>
          <cell r="F13">
            <v>1</v>
          </cell>
          <cell r="G13">
            <v>0</v>
          </cell>
          <cell r="H13">
            <v>0</v>
          </cell>
        </row>
        <row r="14">
          <cell r="A14">
            <v>24</v>
          </cell>
          <cell r="B14" t="str">
            <v>Moyen</v>
          </cell>
          <cell r="D14" t="str">
            <v>*</v>
          </cell>
          <cell r="F14">
            <v>1</v>
          </cell>
          <cell r="G14">
            <v>0</v>
          </cell>
          <cell r="H14">
            <v>0</v>
          </cell>
        </row>
        <row r="15">
          <cell r="A15">
            <v>25</v>
          </cell>
          <cell r="B15" t="str">
            <v>Moyen</v>
          </cell>
          <cell r="D15" t="str">
            <v>*</v>
          </cell>
          <cell r="F15">
            <v>1</v>
          </cell>
          <cell r="G15">
            <v>0</v>
          </cell>
          <cell r="H15">
            <v>0</v>
          </cell>
        </row>
        <row r="16">
          <cell r="A16">
            <v>28</v>
          </cell>
          <cell r="B16" t="str">
            <v>Moyen</v>
          </cell>
          <cell r="D16" t="str">
            <v>*</v>
          </cell>
          <cell r="F16">
            <v>1</v>
          </cell>
          <cell r="G16">
            <v>0</v>
          </cell>
          <cell r="H16">
            <v>0</v>
          </cell>
        </row>
        <row r="17">
          <cell r="A17">
            <v>29</v>
          </cell>
          <cell r="B17" t="str">
            <v>Moyen</v>
          </cell>
          <cell r="D17" t="str">
            <v>*</v>
          </cell>
          <cell r="F17">
            <v>1</v>
          </cell>
          <cell r="G17">
            <v>0</v>
          </cell>
          <cell r="H17">
            <v>0</v>
          </cell>
        </row>
        <row r="18">
          <cell r="A18">
            <v>31</v>
          </cell>
          <cell r="B18" t="str">
            <v>Moyen</v>
          </cell>
          <cell r="D18" t="str">
            <v>*</v>
          </cell>
          <cell r="F18">
            <v>1</v>
          </cell>
          <cell r="G18">
            <v>0</v>
          </cell>
          <cell r="H18">
            <v>0</v>
          </cell>
        </row>
        <row r="19">
          <cell r="A19">
            <v>33</v>
          </cell>
          <cell r="B19" t="str">
            <v>Moyen</v>
          </cell>
          <cell r="D19" t="str">
            <v>*</v>
          </cell>
          <cell r="F19">
            <v>1</v>
          </cell>
          <cell r="G19">
            <v>0</v>
          </cell>
          <cell r="H19">
            <v>0</v>
          </cell>
        </row>
        <row r="20">
          <cell r="A20">
            <v>38</v>
          </cell>
          <cell r="B20" t="str">
            <v>Moyen</v>
          </cell>
          <cell r="D20" t="str">
            <v>*</v>
          </cell>
          <cell r="F20">
            <v>1</v>
          </cell>
          <cell r="G20">
            <v>0</v>
          </cell>
          <cell r="H20">
            <v>40710.102500000001</v>
          </cell>
        </row>
        <row r="21">
          <cell r="A21">
            <v>40</v>
          </cell>
          <cell r="B21" t="str">
            <v>Moyen</v>
          </cell>
          <cell r="D21" t="str">
            <v>*</v>
          </cell>
          <cell r="F21">
            <v>1</v>
          </cell>
          <cell r="G21">
            <v>0</v>
          </cell>
          <cell r="H21">
            <v>107332</v>
          </cell>
        </row>
        <row r="22">
          <cell r="A22">
            <v>42</v>
          </cell>
          <cell r="B22" t="str">
            <v>Moyen</v>
          </cell>
          <cell r="D22" t="str">
            <v>*</v>
          </cell>
          <cell r="F22">
            <v>1</v>
          </cell>
          <cell r="G22">
            <v>0</v>
          </cell>
          <cell r="H22">
            <v>68330</v>
          </cell>
        </row>
        <row r="23">
          <cell r="A23">
            <v>130</v>
          </cell>
          <cell r="B23" t="str">
            <v>Moyen</v>
          </cell>
          <cell r="D23" t="str">
            <v>*</v>
          </cell>
          <cell r="F23">
            <v>1</v>
          </cell>
          <cell r="G23">
            <v>0</v>
          </cell>
          <cell r="H23">
            <v>2063.96</v>
          </cell>
        </row>
        <row r="24">
          <cell r="A24">
            <v>133</v>
          </cell>
          <cell r="B24" t="str">
            <v>Moyen</v>
          </cell>
          <cell r="D24" t="str">
            <v>*</v>
          </cell>
          <cell r="F24">
            <v>1</v>
          </cell>
          <cell r="G24">
            <v>0</v>
          </cell>
          <cell r="H24">
            <v>3921.4160000000002</v>
          </cell>
        </row>
        <row r="25">
          <cell r="A25">
            <v>135</v>
          </cell>
          <cell r="B25" t="str">
            <v>Moyen</v>
          </cell>
          <cell r="D25" t="str">
            <v>*</v>
          </cell>
          <cell r="F25">
            <v>1</v>
          </cell>
          <cell r="G25">
            <v>0</v>
          </cell>
          <cell r="H25">
            <v>0</v>
          </cell>
        </row>
        <row r="26">
          <cell r="A26">
            <v>149</v>
          </cell>
          <cell r="B26" t="str">
            <v>Moyen</v>
          </cell>
          <cell r="D26" t="str">
            <v>*</v>
          </cell>
          <cell r="F26">
            <v>1</v>
          </cell>
          <cell r="G26">
            <v>0</v>
          </cell>
          <cell r="H26">
            <v>0</v>
          </cell>
        </row>
        <row r="27">
          <cell r="A27">
            <v>154</v>
          </cell>
          <cell r="B27" t="str">
            <v>Moyen</v>
          </cell>
          <cell r="D27" t="str">
            <v>*</v>
          </cell>
          <cell r="F27">
            <v>1</v>
          </cell>
          <cell r="G27">
            <v>0</v>
          </cell>
          <cell r="H27">
            <v>0</v>
          </cell>
        </row>
        <row r="28">
          <cell r="A28">
            <v>162</v>
          </cell>
          <cell r="B28" t="str">
            <v>Moyen</v>
          </cell>
          <cell r="D28" t="str">
            <v>*</v>
          </cell>
          <cell r="F28">
            <v>1</v>
          </cell>
          <cell r="G28">
            <v>0</v>
          </cell>
          <cell r="H28">
            <v>0</v>
          </cell>
        </row>
        <row r="29">
          <cell r="A29">
            <v>163</v>
          </cell>
          <cell r="B29" t="str">
            <v>Moyen</v>
          </cell>
          <cell r="D29" t="str">
            <v>*</v>
          </cell>
          <cell r="F29">
            <v>1</v>
          </cell>
          <cell r="G29">
            <v>0</v>
          </cell>
          <cell r="H29">
            <v>0</v>
          </cell>
        </row>
        <row r="30">
          <cell r="A30">
            <v>165</v>
          </cell>
          <cell r="B30" t="str">
            <v>Moyen</v>
          </cell>
          <cell r="D30" t="str">
            <v>*</v>
          </cell>
          <cell r="F30">
            <v>1</v>
          </cell>
          <cell r="G30">
            <v>0</v>
          </cell>
          <cell r="H30">
            <v>0</v>
          </cell>
        </row>
        <row r="31">
          <cell r="A31">
            <v>168</v>
          </cell>
          <cell r="B31" t="str">
            <v>Moyen</v>
          </cell>
          <cell r="D31" t="str">
            <v>*</v>
          </cell>
          <cell r="F31">
            <v>1</v>
          </cell>
          <cell r="G31">
            <v>0</v>
          </cell>
          <cell r="H31">
            <v>0</v>
          </cell>
        </row>
        <row r="32">
          <cell r="A32">
            <v>174</v>
          </cell>
          <cell r="B32" t="str">
            <v>Moyen</v>
          </cell>
          <cell r="D32" t="str">
            <v>*</v>
          </cell>
          <cell r="F32">
            <v>1</v>
          </cell>
          <cell r="G32">
            <v>0</v>
          </cell>
          <cell r="H32">
            <v>89</v>
          </cell>
        </row>
        <row r="33">
          <cell r="A33">
            <v>175</v>
          </cell>
          <cell r="B33" t="str">
            <v>Moyen</v>
          </cell>
          <cell r="D33" t="str">
            <v>*</v>
          </cell>
          <cell r="F33">
            <v>1</v>
          </cell>
          <cell r="G33">
            <v>0</v>
          </cell>
          <cell r="H33">
            <v>0</v>
          </cell>
        </row>
        <row r="34">
          <cell r="A34">
            <v>176</v>
          </cell>
          <cell r="B34" t="str">
            <v>Moyen</v>
          </cell>
          <cell r="D34" t="str">
            <v>*</v>
          </cell>
          <cell r="F34">
            <v>1</v>
          </cell>
          <cell r="G34">
            <v>0</v>
          </cell>
          <cell r="H34">
            <v>134</v>
          </cell>
        </row>
        <row r="35">
          <cell r="A35">
            <v>181</v>
          </cell>
          <cell r="B35" t="str">
            <v>Moyen</v>
          </cell>
          <cell r="D35" t="str">
            <v>*</v>
          </cell>
          <cell r="F35">
            <v>1</v>
          </cell>
          <cell r="G35">
            <v>0</v>
          </cell>
          <cell r="H35">
            <v>939</v>
          </cell>
        </row>
        <row r="36">
          <cell r="A36">
            <v>182</v>
          </cell>
          <cell r="B36" t="str">
            <v>Moyen</v>
          </cell>
          <cell r="D36" t="str">
            <v>*</v>
          </cell>
          <cell r="F36">
            <v>1</v>
          </cell>
          <cell r="G36">
            <v>0</v>
          </cell>
          <cell r="H36">
            <v>0</v>
          </cell>
        </row>
        <row r="37">
          <cell r="A37">
            <v>183</v>
          </cell>
          <cell r="B37" t="str">
            <v>Moyen</v>
          </cell>
          <cell r="D37" t="str">
            <v>*</v>
          </cell>
          <cell r="F37">
            <v>1</v>
          </cell>
          <cell r="G37">
            <v>0</v>
          </cell>
          <cell r="H37">
            <v>0</v>
          </cell>
        </row>
        <row r="38">
          <cell r="A38">
            <v>184</v>
          </cell>
          <cell r="B38" t="str">
            <v>Moyen</v>
          </cell>
          <cell r="D38" t="str">
            <v>*</v>
          </cell>
          <cell r="F38">
            <v>1</v>
          </cell>
          <cell r="G38">
            <v>0</v>
          </cell>
          <cell r="H38">
            <v>524</v>
          </cell>
        </row>
        <row r="39">
          <cell r="A39">
            <v>186</v>
          </cell>
          <cell r="B39" t="str">
            <v>Moyen</v>
          </cell>
          <cell r="D39" t="str">
            <v>*</v>
          </cell>
          <cell r="F39">
            <v>1</v>
          </cell>
          <cell r="G39">
            <v>0</v>
          </cell>
          <cell r="H39">
            <v>0</v>
          </cell>
        </row>
        <row r="40">
          <cell r="A40">
            <v>192</v>
          </cell>
          <cell r="B40" t="str">
            <v>Moyen</v>
          </cell>
          <cell r="D40" t="str">
            <v>*</v>
          </cell>
          <cell r="F40">
            <v>1</v>
          </cell>
          <cell r="G40">
            <v>0</v>
          </cell>
          <cell r="H40">
            <v>139</v>
          </cell>
        </row>
        <row r="41">
          <cell r="A41">
            <v>223</v>
          </cell>
          <cell r="B41" t="str">
            <v>Moyen</v>
          </cell>
          <cell r="D41" t="str">
            <v>*</v>
          </cell>
          <cell r="F41">
            <v>1</v>
          </cell>
          <cell r="G41">
            <v>0</v>
          </cell>
          <cell r="H41">
            <v>0</v>
          </cell>
        </row>
        <row r="42">
          <cell r="A42">
            <v>229</v>
          </cell>
          <cell r="B42" t="str">
            <v>Moyen</v>
          </cell>
          <cell r="D42" t="str">
            <v>*</v>
          </cell>
          <cell r="F42">
            <v>1</v>
          </cell>
          <cell r="G42">
            <v>0</v>
          </cell>
          <cell r="H42">
            <v>4487</v>
          </cell>
        </row>
        <row r="43">
          <cell r="A43">
            <v>236</v>
          </cell>
          <cell r="B43" t="str">
            <v>Moyen</v>
          </cell>
          <cell r="D43" t="str">
            <v>*</v>
          </cell>
          <cell r="F43">
            <v>1</v>
          </cell>
          <cell r="G43">
            <v>0</v>
          </cell>
          <cell r="H43">
            <v>75</v>
          </cell>
        </row>
        <row r="44">
          <cell r="A44">
            <v>237</v>
          </cell>
          <cell r="B44" t="str">
            <v>Moyen</v>
          </cell>
          <cell r="D44" t="str">
            <v>*</v>
          </cell>
          <cell r="F44">
            <v>1</v>
          </cell>
          <cell r="G44">
            <v>0</v>
          </cell>
          <cell r="H44">
            <v>2250</v>
          </cell>
        </row>
        <row r="45">
          <cell r="A45">
            <v>251</v>
          </cell>
          <cell r="B45" t="str">
            <v>Moyen</v>
          </cell>
          <cell r="D45" t="str">
            <v>*</v>
          </cell>
          <cell r="F45">
            <v>1</v>
          </cell>
          <cell r="G45">
            <v>0</v>
          </cell>
          <cell r="H45">
            <v>20</v>
          </cell>
        </row>
        <row r="46">
          <cell r="A46">
            <v>258</v>
          </cell>
          <cell r="B46" t="str">
            <v>Moyen</v>
          </cell>
          <cell r="D46" t="str">
            <v>*</v>
          </cell>
          <cell r="F46">
            <v>1</v>
          </cell>
          <cell r="G46">
            <v>0</v>
          </cell>
          <cell r="H46">
            <v>32</v>
          </cell>
        </row>
        <row r="47">
          <cell r="A47">
            <v>259</v>
          </cell>
          <cell r="B47" t="str">
            <v>Moyen</v>
          </cell>
          <cell r="D47" t="str">
            <v>*</v>
          </cell>
          <cell r="F47">
            <v>1</v>
          </cell>
          <cell r="G47">
            <v>0</v>
          </cell>
          <cell r="H47">
            <v>98.575244293490201</v>
          </cell>
        </row>
        <row r="48">
          <cell r="A48">
            <v>260</v>
          </cell>
          <cell r="B48" t="str">
            <v>Moyen</v>
          </cell>
          <cell r="D48" t="str">
            <v>*</v>
          </cell>
          <cell r="F48">
            <v>1</v>
          </cell>
          <cell r="G48">
            <v>0</v>
          </cell>
          <cell r="H48">
            <v>0</v>
          </cell>
        </row>
        <row r="49">
          <cell r="A49">
            <v>261</v>
          </cell>
          <cell r="B49" t="str">
            <v>Moyen</v>
          </cell>
          <cell r="D49" t="str">
            <v>*</v>
          </cell>
          <cell r="F49">
            <v>1</v>
          </cell>
          <cell r="G49">
            <v>0</v>
          </cell>
          <cell r="H49">
            <v>235</v>
          </cell>
        </row>
        <row r="50">
          <cell r="A50">
            <v>297</v>
          </cell>
          <cell r="B50" t="str">
            <v>Moyen</v>
          </cell>
          <cell r="D50" t="str">
            <v>*</v>
          </cell>
          <cell r="F50">
            <v>1</v>
          </cell>
          <cell r="G50">
            <v>0</v>
          </cell>
          <cell r="H50">
            <v>0</v>
          </cell>
        </row>
        <row r="51">
          <cell r="A51">
            <v>304</v>
          </cell>
          <cell r="B51" t="str">
            <v>Moyen</v>
          </cell>
          <cell r="D51" t="str">
            <v>*</v>
          </cell>
          <cell r="F51">
            <v>1</v>
          </cell>
          <cell r="G51">
            <v>0</v>
          </cell>
          <cell r="H51">
            <v>1500</v>
          </cell>
        </row>
        <row r="52">
          <cell r="A52">
            <v>307</v>
          </cell>
          <cell r="B52" t="str">
            <v>Moyen</v>
          </cell>
          <cell r="D52" t="str">
            <v>*</v>
          </cell>
          <cell r="F52">
            <v>1</v>
          </cell>
          <cell r="G52">
            <v>0</v>
          </cell>
          <cell r="H52">
            <v>867</v>
          </cell>
        </row>
        <row r="53">
          <cell r="A53">
            <v>310</v>
          </cell>
          <cell r="B53" t="str">
            <v>Moyen</v>
          </cell>
          <cell r="D53" t="str">
            <v>*</v>
          </cell>
          <cell r="F53">
            <v>1</v>
          </cell>
          <cell r="G53">
            <v>0</v>
          </cell>
          <cell r="H53">
            <v>8</v>
          </cell>
        </row>
        <row r="54">
          <cell r="A54">
            <v>321</v>
          </cell>
          <cell r="B54" t="str">
            <v>Moyen</v>
          </cell>
          <cell r="D54" t="str">
            <v>*</v>
          </cell>
          <cell r="F54">
            <v>1</v>
          </cell>
          <cell r="G54">
            <v>0</v>
          </cell>
          <cell r="H54">
            <v>8</v>
          </cell>
        </row>
        <row r="55">
          <cell r="A55">
            <v>322</v>
          </cell>
          <cell r="B55" t="str">
            <v>Moyen</v>
          </cell>
          <cell r="D55" t="str">
            <v>*</v>
          </cell>
          <cell r="F55">
            <v>1</v>
          </cell>
          <cell r="G55">
            <v>0</v>
          </cell>
          <cell r="H55">
            <v>0</v>
          </cell>
        </row>
        <row r="56">
          <cell r="A56">
            <v>325</v>
          </cell>
          <cell r="B56" t="str">
            <v>Moyen</v>
          </cell>
          <cell r="D56" t="str">
            <v>*</v>
          </cell>
          <cell r="F56">
            <v>1</v>
          </cell>
          <cell r="G56">
            <v>0</v>
          </cell>
          <cell r="H56">
            <v>1</v>
          </cell>
        </row>
        <row r="57">
          <cell r="A57">
            <v>343</v>
          </cell>
          <cell r="B57" t="str">
            <v>Moyen</v>
          </cell>
          <cell r="D57" t="str">
            <v>*</v>
          </cell>
          <cell r="F57">
            <v>1</v>
          </cell>
          <cell r="G57">
            <v>0</v>
          </cell>
          <cell r="H57">
            <v>0</v>
          </cell>
        </row>
        <row r="58">
          <cell r="A58">
            <v>350</v>
          </cell>
          <cell r="B58" t="str">
            <v>Moyen</v>
          </cell>
          <cell r="D58" t="str">
            <v>*</v>
          </cell>
          <cell r="F58">
            <v>1</v>
          </cell>
          <cell r="G58">
            <v>0</v>
          </cell>
          <cell r="H58">
            <v>0</v>
          </cell>
        </row>
        <row r="59">
          <cell r="A59">
            <v>356</v>
          </cell>
          <cell r="B59" t="str">
            <v>Moyen</v>
          </cell>
          <cell r="D59" t="str">
            <v>*</v>
          </cell>
          <cell r="F59">
            <v>1</v>
          </cell>
          <cell r="G59">
            <v>0</v>
          </cell>
          <cell r="H59">
            <v>1</v>
          </cell>
        </row>
        <row r="60">
          <cell r="A60">
            <v>359</v>
          </cell>
          <cell r="B60" t="str">
            <v>Moyen</v>
          </cell>
          <cell r="D60" t="str">
            <v>*</v>
          </cell>
          <cell r="F60">
            <v>1</v>
          </cell>
          <cell r="G60">
            <v>0</v>
          </cell>
          <cell r="H60">
            <v>0</v>
          </cell>
        </row>
        <row r="61">
          <cell r="A61">
            <v>360</v>
          </cell>
          <cell r="B61" t="str">
            <v>Moyen</v>
          </cell>
          <cell r="D61" t="str">
            <v>*</v>
          </cell>
          <cell r="F61">
            <v>1</v>
          </cell>
          <cell r="G61">
            <v>0</v>
          </cell>
          <cell r="H61">
            <v>0</v>
          </cell>
        </row>
        <row r="62">
          <cell r="A62">
            <v>361</v>
          </cell>
          <cell r="B62" t="str">
            <v>Moyen</v>
          </cell>
          <cell r="D62" t="str">
            <v>*</v>
          </cell>
          <cell r="F62">
            <v>1</v>
          </cell>
          <cell r="G62">
            <v>0</v>
          </cell>
          <cell r="H62">
            <v>1274</v>
          </cell>
        </row>
        <row r="63">
          <cell r="A63">
            <v>367</v>
          </cell>
          <cell r="B63" t="str">
            <v>Moyen</v>
          </cell>
          <cell r="D63" t="str">
            <v>*</v>
          </cell>
          <cell r="F63">
            <v>1</v>
          </cell>
          <cell r="G63">
            <v>0</v>
          </cell>
          <cell r="H63">
            <v>0</v>
          </cell>
        </row>
        <row r="64">
          <cell r="A64">
            <v>368</v>
          </cell>
          <cell r="B64" t="str">
            <v>Moyen</v>
          </cell>
          <cell r="D64" t="str">
            <v>*</v>
          </cell>
          <cell r="F64">
            <v>1</v>
          </cell>
          <cell r="G64">
            <v>0</v>
          </cell>
          <cell r="H64">
            <v>6250</v>
          </cell>
        </row>
        <row r="65">
          <cell r="A65">
            <v>369</v>
          </cell>
          <cell r="B65" t="str">
            <v>Moyen</v>
          </cell>
          <cell r="D65" t="str">
            <v>*</v>
          </cell>
          <cell r="F65">
            <v>1</v>
          </cell>
          <cell r="G65">
            <v>0</v>
          </cell>
          <cell r="H65">
            <v>0</v>
          </cell>
        </row>
        <row r="66">
          <cell r="A66">
            <v>370</v>
          </cell>
          <cell r="B66" t="str">
            <v>Moyen</v>
          </cell>
          <cell r="D66" t="str">
            <v>*</v>
          </cell>
          <cell r="F66">
            <v>1</v>
          </cell>
          <cell r="G66">
            <v>0</v>
          </cell>
          <cell r="H66">
            <v>0</v>
          </cell>
        </row>
        <row r="67">
          <cell r="A67">
            <v>371</v>
          </cell>
          <cell r="B67" t="str">
            <v>Moyen</v>
          </cell>
          <cell r="D67" t="str">
            <v>*</v>
          </cell>
          <cell r="F67">
            <v>1</v>
          </cell>
          <cell r="G67">
            <v>0</v>
          </cell>
          <cell r="H67">
            <v>0</v>
          </cell>
        </row>
        <row r="68">
          <cell r="A68">
            <v>372</v>
          </cell>
          <cell r="B68" t="str">
            <v>Moyen</v>
          </cell>
          <cell r="D68" t="str">
            <v>*</v>
          </cell>
          <cell r="F68">
            <v>1</v>
          </cell>
          <cell r="G68">
            <v>0</v>
          </cell>
          <cell r="H68">
            <v>0</v>
          </cell>
        </row>
        <row r="69">
          <cell r="A69">
            <v>373</v>
          </cell>
          <cell r="B69" t="str">
            <v>Moyen</v>
          </cell>
          <cell r="D69" t="str">
            <v>*</v>
          </cell>
          <cell r="F69">
            <v>1</v>
          </cell>
          <cell r="G69">
            <v>0</v>
          </cell>
          <cell r="H69">
            <v>0</v>
          </cell>
        </row>
        <row r="70">
          <cell r="A70">
            <v>377</v>
          </cell>
          <cell r="B70" t="str">
            <v>Moyen</v>
          </cell>
          <cell r="D70" t="str">
            <v>*</v>
          </cell>
          <cell r="F70">
            <v>1</v>
          </cell>
          <cell r="G70">
            <v>0</v>
          </cell>
          <cell r="H70">
            <v>19416</v>
          </cell>
        </row>
        <row r="71">
          <cell r="A71">
            <v>379</v>
          </cell>
          <cell r="B71" t="str">
            <v>Moyen</v>
          </cell>
          <cell r="D71" t="str">
            <v>*</v>
          </cell>
          <cell r="F71">
            <v>1</v>
          </cell>
          <cell r="G71">
            <v>0</v>
          </cell>
          <cell r="H71">
            <v>29006</v>
          </cell>
        </row>
        <row r="72">
          <cell r="A72">
            <v>380</v>
          </cell>
          <cell r="B72" t="str">
            <v>Moyen</v>
          </cell>
          <cell r="D72" t="str">
            <v>*</v>
          </cell>
          <cell r="F72">
            <v>1</v>
          </cell>
          <cell r="G72">
            <v>0</v>
          </cell>
          <cell r="H72">
            <v>0</v>
          </cell>
        </row>
        <row r="73">
          <cell r="A73">
            <v>381</v>
          </cell>
          <cell r="B73" t="str">
            <v>Moyen</v>
          </cell>
          <cell r="D73" t="str">
            <v>*</v>
          </cell>
          <cell r="F73">
            <v>1</v>
          </cell>
          <cell r="G73">
            <v>0</v>
          </cell>
          <cell r="H73">
            <v>1575</v>
          </cell>
        </row>
        <row r="74">
          <cell r="A74">
            <v>383</v>
          </cell>
          <cell r="B74" t="str">
            <v>Moyen</v>
          </cell>
          <cell r="D74" t="str">
            <v>*</v>
          </cell>
          <cell r="F74">
            <v>1</v>
          </cell>
          <cell r="G74">
            <v>0</v>
          </cell>
          <cell r="H74">
            <v>0</v>
          </cell>
        </row>
        <row r="75">
          <cell r="A75">
            <v>472</v>
          </cell>
          <cell r="B75" t="str">
            <v>Moyen</v>
          </cell>
          <cell r="D75" t="str">
            <v>*</v>
          </cell>
          <cell r="F75">
            <v>1</v>
          </cell>
          <cell r="G75">
            <v>0</v>
          </cell>
          <cell r="H75">
            <v>100</v>
          </cell>
        </row>
        <row r="76">
          <cell r="A76">
            <v>481</v>
          </cell>
          <cell r="B76" t="str">
            <v>Moyen</v>
          </cell>
          <cell r="D76" t="str">
            <v>*</v>
          </cell>
          <cell r="F76">
            <v>1</v>
          </cell>
          <cell r="G76">
            <v>0</v>
          </cell>
          <cell r="H76">
            <v>57.019937991990702</v>
          </cell>
        </row>
        <row r="77">
          <cell r="A77">
            <v>482</v>
          </cell>
          <cell r="B77" t="str">
            <v>Moyen</v>
          </cell>
          <cell r="D77" t="str">
            <v>*</v>
          </cell>
          <cell r="F77">
            <v>1</v>
          </cell>
          <cell r="G77">
            <v>0</v>
          </cell>
          <cell r="H77">
            <v>9</v>
          </cell>
        </row>
        <row r="78">
          <cell r="A78">
            <v>495</v>
          </cell>
          <cell r="B78" t="str">
            <v>Moyen</v>
          </cell>
          <cell r="F78">
            <v>1</v>
          </cell>
          <cell r="G78">
            <v>0</v>
          </cell>
          <cell r="H78">
            <v>0</v>
          </cell>
        </row>
        <row r="79">
          <cell r="A79">
            <v>503</v>
          </cell>
          <cell r="B79" t="str">
            <v>Moyen</v>
          </cell>
          <cell r="D79" t="str">
            <v>*</v>
          </cell>
          <cell r="F79">
            <v>1</v>
          </cell>
          <cell r="G79">
            <v>0</v>
          </cell>
          <cell r="H79">
            <v>0</v>
          </cell>
        </row>
        <row r="80">
          <cell r="A80">
            <v>506</v>
          </cell>
          <cell r="B80" t="str">
            <v>Moyen</v>
          </cell>
          <cell r="D80" t="str">
            <v>*</v>
          </cell>
          <cell r="F80">
            <v>1</v>
          </cell>
          <cell r="G80">
            <v>0</v>
          </cell>
          <cell r="H80">
            <v>0</v>
          </cell>
        </row>
        <row r="81">
          <cell r="A81">
            <v>511</v>
          </cell>
          <cell r="B81" t="str">
            <v>Moyen</v>
          </cell>
          <cell r="D81" t="str">
            <v>*</v>
          </cell>
          <cell r="F81">
            <v>1</v>
          </cell>
          <cell r="G81">
            <v>0</v>
          </cell>
          <cell r="H81">
            <v>0</v>
          </cell>
        </row>
        <row r="82">
          <cell r="A82">
            <v>518</v>
          </cell>
          <cell r="B82" t="str">
            <v>Moyen</v>
          </cell>
          <cell r="D82" t="str">
            <v>*</v>
          </cell>
          <cell r="F82">
            <v>1</v>
          </cell>
          <cell r="G82">
            <v>0</v>
          </cell>
          <cell r="H82">
            <v>0</v>
          </cell>
        </row>
        <row r="83">
          <cell r="A83">
            <v>522</v>
          </cell>
          <cell r="B83" t="str">
            <v>Moyen</v>
          </cell>
          <cell r="D83" t="str">
            <v>*</v>
          </cell>
          <cell r="F83">
            <v>1</v>
          </cell>
          <cell r="G83">
            <v>0</v>
          </cell>
          <cell r="H83">
            <v>0</v>
          </cell>
        </row>
        <row r="84">
          <cell r="A84">
            <v>527</v>
          </cell>
          <cell r="B84" t="str">
            <v>Moyen</v>
          </cell>
          <cell r="D84" t="str">
            <v>*</v>
          </cell>
          <cell r="F84">
            <v>1</v>
          </cell>
          <cell r="G84">
            <v>0</v>
          </cell>
          <cell r="H84">
            <v>2286.1172336452601</v>
          </cell>
        </row>
        <row r="85">
          <cell r="A85">
            <v>540</v>
          </cell>
          <cell r="B85" t="str">
            <v>Moyen</v>
          </cell>
          <cell r="D85" t="str">
            <v>*</v>
          </cell>
          <cell r="F85">
            <v>1</v>
          </cell>
          <cell r="G85">
            <v>0</v>
          </cell>
          <cell r="H85">
            <v>48993</v>
          </cell>
        </row>
        <row r="86">
          <cell r="A86">
            <v>542</v>
          </cell>
          <cell r="B86" t="str">
            <v>Moyen</v>
          </cell>
          <cell r="D86" t="str">
            <v>*</v>
          </cell>
          <cell r="F86">
            <v>1</v>
          </cell>
          <cell r="G86">
            <v>0</v>
          </cell>
          <cell r="H86">
            <v>0</v>
          </cell>
        </row>
        <row r="87">
          <cell r="A87">
            <v>547</v>
          </cell>
          <cell r="B87" t="str">
            <v>Moyen</v>
          </cell>
          <cell r="D87" t="str">
            <v>*</v>
          </cell>
          <cell r="F87">
            <v>1</v>
          </cell>
          <cell r="G87">
            <v>0</v>
          </cell>
          <cell r="H87">
            <v>0</v>
          </cell>
        </row>
        <row r="88">
          <cell r="A88">
            <v>550</v>
          </cell>
          <cell r="B88" t="str">
            <v>Moyen</v>
          </cell>
          <cell r="D88" t="str">
            <v>*</v>
          </cell>
          <cell r="F88">
            <v>1</v>
          </cell>
          <cell r="G88">
            <v>0</v>
          </cell>
          <cell r="H88">
            <v>0</v>
          </cell>
        </row>
        <row r="89">
          <cell r="A89">
            <v>563</v>
          </cell>
          <cell r="B89" t="str">
            <v>Moyen</v>
          </cell>
          <cell r="D89" t="str">
            <v>*</v>
          </cell>
          <cell r="F89">
            <v>1</v>
          </cell>
          <cell r="G89">
            <v>0</v>
          </cell>
          <cell r="H89">
            <v>0</v>
          </cell>
        </row>
        <row r="90">
          <cell r="A90">
            <v>570</v>
          </cell>
          <cell r="B90" t="str">
            <v>Moyen</v>
          </cell>
          <cell r="D90" t="str">
            <v>*</v>
          </cell>
          <cell r="F90">
            <v>1</v>
          </cell>
          <cell r="G90">
            <v>0</v>
          </cell>
          <cell r="H90">
            <v>254511</v>
          </cell>
        </row>
        <row r="91">
          <cell r="A91">
            <v>571</v>
          </cell>
          <cell r="B91" t="str">
            <v>Moyen</v>
          </cell>
          <cell r="D91" t="str">
            <v>*</v>
          </cell>
          <cell r="F91">
            <v>1</v>
          </cell>
          <cell r="G91">
            <v>0</v>
          </cell>
          <cell r="H91">
            <v>0</v>
          </cell>
        </row>
        <row r="92">
          <cell r="A92">
            <v>573</v>
          </cell>
          <cell r="B92" t="str">
            <v>Moyen</v>
          </cell>
          <cell r="D92" t="str">
            <v>*</v>
          </cell>
          <cell r="F92">
            <v>1</v>
          </cell>
          <cell r="G92">
            <v>0</v>
          </cell>
          <cell r="H92">
            <v>2048200</v>
          </cell>
        </row>
        <row r="93">
          <cell r="A93">
            <v>586</v>
          </cell>
          <cell r="B93" t="str">
            <v>Moyen</v>
          </cell>
          <cell r="D93" t="str">
            <v>*</v>
          </cell>
          <cell r="F93">
            <v>1</v>
          </cell>
          <cell r="G93">
            <v>0</v>
          </cell>
          <cell r="H93">
            <v>0</v>
          </cell>
        </row>
        <row r="94">
          <cell r="A94">
            <v>588</v>
          </cell>
          <cell r="B94" t="str">
            <v>Moyen</v>
          </cell>
          <cell r="D94" t="str">
            <v>*</v>
          </cell>
          <cell r="F94">
            <v>1</v>
          </cell>
          <cell r="G94">
            <v>0</v>
          </cell>
          <cell r="H94">
            <v>0</v>
          </cell>
        </row>
        <row r="95">
          <cell r="A95">
            <v>609</v>
          </cell>
          <cell r="B95" t="str">
            <v>Moyen</v>
          </cell>
          <cell r="D95" t="str">
            <v>*</v>
          </cell>
          <cell r="F95">
            <v>1</v>
          </cell>
          <cell r="G95">
            <v>0</v>
          </cell>
          <cell r="H95">
            <v>212841</v>
          </cell>
        </row>
        <row r="96">
          <cell r="A96">
            <v>610</v>
          </cell>
          <cell r="B96" t="str">
            <v>Moyen</v>
          </cell>
          <cell r="D96" t="str">
            <v>*</v>
          </cell>
          <cell r="F96">
            <v>1</v>
          </cell>
          <cell r="G96">
            <v>0</v>
          </cell>
          <cell r="H96">
            <v>230668</v>
          </cell>
        </row>
        <row r="97">
          <cell r="A97">
            <v>611</v>
          </cell>
          <cell r="B97" t="str">
            <v>Moyen</v>
          </cell>
          <cell r="D97" t="str">
            <v>*</v>
          </cell>
          <cell r="F97">
            <v>1</v>
          </cell>
          <cell r="G97">
            <v>0</v>
          </cell>
          <cell r="H97">
            <v>11946</v>
          </cell>
        </row>
        <row r="98">
          <cell r="A98">
            <v>613</v>
          </cell>
          <cell r="B98" t="str">
            <v>Moyen</v>
          </cell>
          <cell r="D98" t="str">
            <v>*</v>
          </cell>
          <cell r="F98">
            <v>1</v>
          </cell>
          <cell r="G98">
            <v>0</v>
          </cell>
          <cell r="H98">
            <v>199661</v>
          </cell>
        </row>
        <row r="99">
          <cell r="A99">
            <v>614</v>
          </cell>
          <cell r="B99" t="str">
            <v>Moyen</v>
          </cell>
          <cell r="D99" t="str">
            <v>*</v>
          </cell>
          <cell r="F99">
            <v>1</v>
          </cell>
          <cell r="G99">
            <v>0</v>
          </cell>
          <cell r="H99">
            <v>202340</v>
          </cell>
        </row>
        <row r="100">
          <cell r="A100">
            <v>615</v>
          </cell>
          <cell r="B100" t="str">
            <v>Moyen</v>
          </cell>
          <cell r="D100" t="str">
            <v>*</v>
          </cell>
          <cell r="F100">
            <v>1</v>
          </cell>
          <cell r="G100">
            <v>0</v>
          </cell>
          <cell r="H100">
            <v>201434</v>
          </cell>
        </row>
        <row r="101">
          <cell r="A101">
            <v>616</v>
          </cell>
          <cell r="B101" t="str">
            <v>Moyen</v>
          </cell>
          <cell r="D101" t="str">
            <v>*</v>
          </cell>
          <cell r="F101">
            <v>1</v>
          </cell>
          <cell r="G101">
            <v>0</v>
          </cell>
          <cell r="H101">
            <v>1</v>
          </cell>
        </row>
        <row r="102">
          <cell r="A102">
            <v>621</v>
          </cell>
          <cell r="B102" t="str">
            <v>Moyen</v>
          </cell>
          <cell r="D102" t="str">
            <v>*</v>
          </cell>
          <cell r="F102">
            <v>1</v>
          </cell>
          <cell r="G102">
            <v>0</v>
          </cell>
          <cell r="H102">
            <v>576669</v>
          </cell>
        </row>
        <row r="103">
          <cell r="A103">
            <v>623</v>
          </cell>
          <cell r="B103" t="str">
            <v>Moyen</v>
          </cell>
          <cell r="D103" t="str">
            <v>*</v>
          </cell>
          <cell r="F103">
            <v>1</v>
          </cell>
          <cell r="G103">
            <v>0</v>
          </cell>
          <cell r="H103">
            <v>169237</v>
          </cell>
        </row>
        <row r="104">
          <cell r="A104">
            <v>624</v>
          </cell>
          <cell r="B104" t="str">
            <v>Moyen</v>
          </cell>
          <cell r="D104" t="str">
            <v>*</v>
          </cell>
          <cell r="F104">
            <v>1</v>
          </cell>
          <cell r="G104">
            <v>0</v>
          </cell>
          <cell r="H104">
            <v>120040</v>
          </cell>
        </row>
        <row r="105">
          <cell r="A105">
            <v>625</v>
          </cell>
          <cell r="B105" t="str">
            <v>Moyen</v>
          </cell>
          <cell r="D105" t="str">
            <v>*</v>
          </cell>
          <cell r="F105">
            <v>1</v>
          </cell>
          <cell r="G105">
            <v>0</v>
          </cell>
          <cell r="H105">
            <v>203169</v>
          </cell>
        </row>
        <row r="106">
          <cell r="A106">
            <v>648</v>
          </cell>
          <cell r="B106" t="str">
            <v>Moyen</v>
          </cell>
          <cell r="D106" t="str">
            <v>*</v>
          </cell>
          <cell r="F106">
            <v>1</v>
          </cell>
          <cell r="G106">
            <v>0</v>
          </cell>
          <cell r="H106">
            <v>0</v>
          </cell>
        </row>
        <row r="107">
          <cell r="A107">
            <v>651</v>
          </cell>
          <cell r="B107" t="str">
            <v>Moyen</v>
          </cell>
          <cell r="D107" t="str">
            <v>*</v>
          </cell>
          <cell r="F107">
            <v>1</v>
          </cell>
          <cell r="G107">
            <v>0</v>
          </cell>
          <cell r="H107">
            <v>122664</v>
          </cell>
        </row>
        <row r="108">
          <cell r="A108">
            <v>700</v>
          </cell>
          <cell r="B108" t="str">
            <v>Moyen</v>
          </cell>
          <cell r="D108" t="str">
            <v>*</v>
          </cell>
          <cell r="F108">
            <v>1</v>
          </cell>
          <cell r="G108">
            <v>0</v>
          </cell>
          <cell r="H108">
            <v>1006435</v>
          </cell>
        </row>
        <row r="109">
          <cell r="A109">
            <v>701</v>
          </cell>
          <cell r="B109" t="str">
            <v>Moyen</v>
          </cell>
          <cell r="D109" t="str">
            <v>*</v>
          </cell>
          <cell r="F109">
            <v>1</v>
          </cell>
          <cell r="G109">
            <v>0</v>
          </cell>
          <cell r="H109">
            <v>629719</v>
          </cell>
        </row>
        <row r="110">
          <cell r="A110">
            <v>702</v>
          </cell>
          <cell r="B110" t="str">
            <v>Moyen</v>
          </cell>
          <cell r="D110" t="str">
            <v>*</v>
          </cell>
          <cell r="F110">
            <v>1</v>
          </cell>
          <cell r="G110">
            <v>0</v>
          </cell>
          <cell r="H110">
            <v>0</v>
          </cell>
        </row>
        <row r="111">
          <cell r="A111">
            <v>709</v>
          </cell>
          <cell r="B111" t="str">
            <v>Moyen</v>
          </cell>
          <cell r="D111" t="str">
            <v>*</v>
          </cell>
          <cell r="F111">
            <v>1</v>
          </cell>
          <cell r="G111">
            <v>0</v>
          </cell>
          <cell r="H111">
            <v>316827</v>
          </cell>
        </row>
        <row r="112">
          <cell r="A112">
            <v>711</v>
          </cell>
          <cell r="B112" t="str">
            <v>Moyen</v>
          </cell>
          <cell r="D112" t="str">
            <v>*</v>
          </cell>
          <cell r="F112">
            <v>1</v>
          </cell>
          <cell r="G112">
            <v>0</v>
          </cell>
          <cell r="H112">
            <v>0</v>
          </cell>
        </row>
        <row r="113">
          <cell r="A113">
            <v>712</v>
          </cell>
          <cell r="B113" t="str">
            <v>Moyen</v>
          </cell>
          <cell r="D113" t="str">
            <v>*</v>
          </cell>
          <cell r="F113">
            <v>1</v>
          </cell>
          <cell r="G113">
            <v>0</v>
          </cell>
          <cell r="H113">
            <v>106775</v>
          </cell>
        </row>
        <row r="114">
          <cell r="A114">
            <v>722</v>
          </cell>
          <cell r="B114" t="str">
            <v>Moyen</v>
          </cell>
          <cell r="D114" t="str">
            <v>*</v>
          </cell>
          <cell r="F114">
            <v>1</v>
          </cell>
          <cell r="G114">
            <v>0</v>
          </cell>
          <cell r="H114">
            <v>1</v>
          </cell>
        </row>
        <row r="115">
          <cell r="A115">
            <v>725</v>
          </cell>
          <cell r="B115" t="str">
            <v>Moyen</v>
          </cell>
          <cell r="D115" t="str">
            <v>*</v>
          </cell>
          <cell r="F115">
            <v>1</v>
          </cell>
          <cell r="G115">
            <v>0</v>
          </cell>
          <cell r="H115">
            <v>1</v>
          </cell>
        </row>
        <row r="116">
          <cell r="A116">
            <v>726</v>
          </cell>
          <cell r="B116" t="str">
            <v>Moyen</v>
          </cell>
          <cell r="D116" t="str">
            <v>*</v>
          </cell>
          <cell r="F116">
            <v>1</v>
          </cell>
          <cell r="G116">
            <v>0</v>
          </cell>
          <cell r="H116">
            <v>0</v>
          </cell>
        </row>
        <row r="117">
          <cell r="A117">
            <v>728</v>
          </cell>
          <cell r="B117" t="str">
            <v>Moyen</v>
          </cell>
          <cell r="D117" t="str">
            <v>*</v>
          </cell>
          <cell r="F117">
            <v>1</v>
          </cell>
          <cell r="G117">
            <v>0</v>
          </cell>
          <cell r="H117">
            <v>0</v>
          </cell>
        </row>
        <row r="118">
          <cell r="A118">
            <v>729</v>
          </cell>
          <cell r="B118" t="str">
            <v>Moyen</v>
          </cell>
          <cell r="D118" t="str">
            <v>*</v>
          </cell>
          <cell r="F118">
            <v>1</v>
          </cell>
          <cell r="G118">
            <v>0</v>
          </cell>
          <cell r="H118">
            <v>0</v>
          </cell>
        </row>
        <row r="119">
          <cell r="A119">
            <v>731</v>
          </cell>
          <cell r="B119" t="str">
            <v>Moyen</v>
          </cell>
          <cell r="D119" t="str">
            <v>*</v>
          </cell>
          <cell r="F119">
            <v>1</v>
          </cell>
          <cell r="G119">
            <v>0</v>
          </cell>
          <cell r="H119">
            <v>0</v>
          </cell>
        </row>
        <row r="120">
          <cell r="A120">
            <v>741</v>
          </cell>
          <cell r="B120" t="str">
            <v>Moyen</v>
          </cell>
          <cell r="D120" t="str">
            <v>*</v>
          </cell>
          <cell r="F120">
            <v>1</v>
          </cell>
          <cell r="G120">
            <v>0</v>
          </cell>
          <cell r="H120">
            <v>0</v>
          </cell>
        </row>
        <row r="121">
          <cell r="A121">
            <v>752</v>
          </cell>
          <cell r="B121" t="str">
            <v>Moyen</v>
          </cell>
          <cell r="D121" t="str">
            <v>*</v>
          </cell>
          <cell r="F121">
            <v>1</v>
          </cell>
          <cell r="G121">
            <v>0</v>
          </cell>
          <cell r="H121">
            <v>1</v>
          </cell>
        </row>
        <row r="122">
          <cell r="A122">
            <v>753</v>
          </cell>
          <cell r="B122" t="str">
            <v>Moyen</v>
          </cell>
          <cell r="D122" t="str">
            <v>*</v>
          </cell>
          <cell r="F122">
            <v>1</v>
          </cell>
          <cell r="G122">
            <v>0</v>
          </cell>
          <cell r="H122">
            <v>1</v>
          </cell>
        </row>
        <row r="123">
          <cell r="A123">
            <v>759</v>
          </cell>
          <cell r="B123" t="str">
            <v>Moyen</v>
          </cell>
          <cell r="D123" t="str">
            <v>*</v>
          </cell>
          <cell r="F123">
            <v>1</v>
          </cell>
          <cell r="G123">
            <v>0</v>
          </cell>
          <cell r="H123">
            <v>1</v>
          </cell>
        </row>
        <row r="124">
          <cell r="A124">
            <v>761</v>
          </cell>
          <cell r="B124" t="str">
            <v>Moyen</v>
          </cell>
          <cell r="D124" t="str">
            <v>*</v>
          </cell>
          <cell r="F124">
            <v>1</v>
          </cell>
          <cell r="G124">
            <v>0</v>
          </cell>
          <cell r="H124">
            <v>80145</v>
          </cell>
        </row>
        <row r="125">
          <cell r="A125">
            <v>768</v>
          </cell>
          <cell r="B125" t="str">
            <v>Moyen</v>
          </cell>
          <cell r="D125" t="str">
            <v>*</v>
          </cell>
          <cell r="F125">
            <v>1</v>
          </cell>
          <cell r="G125">
            <v>0</v>
          </cell>
          <cell r="H125">
            <v>0</v>
          </cell>
        </row>
        <row r="126">
          <cell r="A126">
            <v>769</v>
          </cell>
          <cell r="B126" t="str">
            <v>Moyen</v>
          </cell>
          <cell r="D126" t="str">
            <v>*</v>
          </cell>
          <cell r="F126">
            <v>1</v>
          </cell>
          <cell r="G126">
            <v>0</v>
          </cell>
          <cell r="H126">
            <v>0</v>
          </cell>
        </row>
        <row r="127">
          <cell r="A127">
            <v>771</v>
          </cell>
          <cell r="B127" t="str">
            <v>Moyen</v>
          </cell>
          <cell r="D127" t="str">
            <v>*</v>
          </cell>
          <cell r="F127">
            <v>1</v>
          </cell>
          <cell r="G127">
            <v>0</v>
          </cell>
          <cell r="H127">
            <v>72155</v>
          </cell>
        </row>
        <row r="128">
          <cell r="A128">
            <v>772</v>
          </cell>
          <cell r="B128" t="str">
            <v>Moyen</v>
          </cell>
          <cell r="D128" t="str">
            <v>*</v>
          </cell>
          <cell r="F128">
            <v>1</v>
          </cell>
          <cell r="G128">
            <v>0</v>
          </cell>
          <cell r="H128">
            <v>0</v>
          </cell>
        </row>
        <row r="129">
          <cell r="A129">
            <v>773</v>
          </cell>
          <cell r="B129" t="str">
            <v>Moyen</v>
          </cell>
          <cell r="D129" t="str">
            <v>*</v>
          </cell>
          <cell r="F129">
            <v>1</v>
          </cell>
          <cell r="G129">
            <v>0</v>
          </cell>
          <cell r="H129">
            <v>0</v>
          </cell>
        </row>
        <row r="130">
          <cell r="A130">
            <v>775</v>
          </cell>
          <cell r="B130" t="str">
            <v>Moyen</v>
          </cell>
          <cell r="D130" t="str">
            <v>*</v>
          </cell>
          <cell r="F130">
            <v>1</v>
          </cell>
          <cell r="G130">
            <v>0</v>
          </cell>
          <cell r="H130">
            <v>0</v>
          </cell>
        </row>
        <row r="131">
          <cell r="A131">
            <v>776</v>
          </cell>
          <cell r="B131" t="str">
            <v>Moyen</v>
          </cell>
          <cell r="D131" t="str">
            <v>*</v>
          </cell>
          <cell r="F131">
            <v>1</v>
          </cell>
          <cell r="G131">
            <v>0</v>
          </cell>
          <cell r="H131">
            <v>0</v>
          </cell>
        </row>
        <row r="132">
          <cell r="A132">
            <v>779</v>
          </cell>
          <cell r="B132" t="str">
            <v>Moyen</v>
          </cell>
          <cell r="D132" t="str">
            <v>*</v>
          </cell>
          <cell r="F132">
            <v>1</v>
          </cell>
          <cell r="G132">
            <v>0</v>
          </cell>
          <cell r="H132">
            <v>0</v>
          </cell>
        </row>
        <row r="133">
          <cell r="A133">
            <v>780</v>
          </cell>
          <cell r="B133" t="str">
            <v>Moyen</v>
          </cell>
          <cell r="D133" t="str">
            <v>*</v>
          </cell>
          <cell r="F133">
            <v>1</v>
          </cell>
          <cell r="G133">
            <v>0</v>
          </cell>
          <cell r="H133">
            <v>61529</v>
          </cell>
        </row>
        <row r="134">
          <cell r="A134">
            <v>781</v>
          </cell>
          <cell r="B134" t="str">
            <v>Moyen</v>
          </cell>
          <cell r="D134" t="str">
            <v>*</v>
          </cell>
          <cell r="F134">
            <v>1</v>
          </cell>
          <cell r="G134">
            <v>0</v>
          </cell>
          <cell r="H134">
            <v>0</v>
          </cell>
        </row>
        <row r="135">
          <cell r="A135">
            <v>782</v>
          </cell>
          <cell r="B135" t="str">
            <v>Moyen</v>
          </cell>
          <cell r="D135" t="str">
            <v>*</v>
          </cell>
          <cell r="F135">
            <v>1</v>
          </cell>
          <cell r="G135">
            <v>0</v>
          </cell>
          <cell r="H135">
            <v>1</v>
          </cell>
        </row>
        <row r="136">
          <cell r="A136">
            <v>787</v>
          </cell>
          <cell r="B136" t="str">
            <v>Moyen</v>
          </cell>
          <cell r="D136" t="str">
            <v>*</v>
          </cell>
          <cell r="F136">
            <v>1</v>
          </cell>
          <cell r="G136">
            <v>0</v>
          </cell>
          <cell r="H136">
            <v>0</v>
          </cell>
        </row>
        <row r="137">
          <cell r="A137">
            <v>795</v>
          </cell>
          <cell r="B137" t="str">
            <v>Moyen</v>
          </cell>
          <cell r="D137" t="str">
            <v>*</v>
          </cell>
          <cell r="F137">
            <v>1</v>
          </cell>
          <cell r="G137">
            <v>0</v>
          </cell>
          <cell r="H137">
            <v>0</v>
          </cell>
        </row>
        <row r="138">
          <cell r="A138">
            <v>952</v>
          </cell>
          <cell r="B138" t="str">
            <v>Moyen</v>
          </cell>
          <cell r="D138" t="str">
            <v>*</v>
          </cell>
          <cell r="F138">
            <v>1</v>
          </cell>
          <cell r="G138">
            <v>0</v>
          </cell>
          <cell r="H138">
            <v>884670</v>
          </cell>
        </row>
        <row r="139">
          <cell r="A139">
            <v>968</v>
          </cell>
          <cell r="B139" t="str">
            <v>Moyen</v>
          </cell>
          <cell r="D139" t="str">
            <v>*</v>
          </cell>
          <cell r="F139">
            <v>1</v>
          </cell>
          <cell r="G139">
            <v>0</v>
          </cell>
          <cell r="H139">
            <v>0</v>
          </cell>
        </row>
        <row r="140">
          <cell r="A140">
            <v>1459</v>
          </cell>
          <cell r="B140" t="str">
            <v>Moyen</v>
          </cell>
          <cell r="D140" t="str">
            <v>*</v>
          </cell>
          <cell r="F140">
            <v>1</v>
          </cell>
          <cell r="G140">
            <v>0</v>
          </cell>
          <cell r="H140">
            <v>34000</v>
          </cell>
        </row>
        <row r="141">
          <cell r="A141">
            <v>1460</v>
          </cell>
          <cell r="B141" t="str">
            <v>Moyen</v>
          </cell>
          <cell r="D141" t="str">
            <v>*</v>
          </cell>
          <cell r="F141">
            <v>1</v>
          </cell>
          <cell r="G141">
            <v>0</v>
          </cell>
          <cell r="H141">
            <v>36412</v>
          </cell>
        </row>
        <row r="142">
          <cell r="A142">
            <v>1461</v>
          </cell>
          <cell r="B142" t="str">
            <v>Moyen</v>
          </cell>
          <cell r="D142" t="str">
            <v>*</v>
          </cell>
          <cell r="F142">
            <v>1</v>
          </cell>
          <cell r="G142">
            <v>0</v>
          </cell>
          <cell r="H142">
            <v>0</v>
          </cell>
        </row>
        <row r="143">
          <cell r="A143">
            <v>1463</v>
          </cell>
          <cell r="B143" t="str">
            <v>Moyen</v>
          </cell>
          <cell r="D143" t="str">
            <v>*</v>
          </cell>
          <cell r="F143">
            <v>1</v>
          </cell>
          <cell r="G143">
            <v>0</v>
          </cell>
          <cell r="H143">
            <v>888.02372881355905</v>
          </cell>
        </row>
        <row r="144">
          <cell r="A144">
            <v>1465</v>
          </cell>
          <cell r="B144" t="str">
            <v>Moyen</v>
          </cell>
          <cell r="D144" t="str">
            <v>*</v>
          </cell>
          <cell r="F144">
            <v>1</v>
          </cell>
          <cell r="G144">
            <v>0</v>
          </cell>
          <cell r="H144">
            <v>5103</v>
          </cell>
        </row>
        <row r="145">
          <cell r="A145">
            <v>1471</v>
          </cell>
          <cell r="B145" t="str">
            <v>Moyen</v>
          </cell>
          <cell r="D145" t="str">
            <v>*</v>
          </cell>
          <cell r="F145">
            <v>1</v>
          </cell>
          <cell r="G145">
            <v>0</v>
          </cell>
          <cell r="H145">
            <v>1704</v>
          </cell>
        </row>
        <row r="146">
          <cell r="A146">
            <v>1486</v>
          </cell>
          <cell r="B146" t="str">
            <v>Moyen</v>
          </cell>
          <cell r="D146" t="str">
            <v>*</v>
          </cell>
          <cell r="F146">
            <v>1</v>
          </cell>
          <cell r="G146">
            <v>0</v>
          </cell>
          <cell r="H146">
            <v>0</v>
          </cell>
        </row>
        <row r="147">
          <cell r="A147">
            <v>1492</v>
          </cell>
          <cell r="B147" t="str">
            <v>Moyen</v>
          </cell>
          <cell r="D147" t="str">
            <v>*</v>
          </cell>
          <cell r="F147">
            <v>1</v>
          </cell>
          <cell r="G147">
            <v>0</v>
          </cell>
          <cell r="H147">
            <v>0</v>
          </cell>
        </row>
        <row r="148">
          <cell r="A148">
            <v>1494</v>
          </cell>
          <cell r="B148" t="str">
            <v>Moyen</v>
          </cell>
          <cell r="D148" t="str">
            <v>*</v>
          </cell>
          <cell r="F148">
            <v>1</v>
          </cell>
          <cell r="G148">
            <v>0</v>
          </cell>
          <cell r="H148">
            <v>0</v>
          </cell>
        </row>
        <row r="149">
          <cell r="A149">
            <v>1505</v>
          </cell>
          <cell r="B149" t="str">
            <v>Moyen</v>
          </cell>
          <cell r="D149" t="str">
            <v>*</v>
          </cell>
          <cell r="F149">
            <v>1</v>
          </cell>
          <cell r="G149">
            <v>0</v>
          </cell>
          <cell r="H149">
            <v>200437</v>
          </cell>
        </row>
        <row r="150">
          <cell r="A150">
            <v>1507</v>
          </cell>
          <cell r="B150" t="str">
            <v>Moyen</v>
          </cell>
          <cell r="D150" t="str">
            <v>*</v>
          </cell>
          <cell r="F150">
            <v>1</v>
          </cell>
          <cell r="G150">
            <v>0</v>
          </cell>
          <cell r="H150">
            <v>29201</v>
          </cell>
        </row>
        <row r="151">
          <cell r="A151">
            <v>1509</v>
          </cell>
          <cell r="B151" t="str">
            <v>Moyen</v>
          </cell>
          <cell r="D151" t="str">
            <v>*</v>
          </cell>
          <cell r="F151">
            <v>1</v>
          </cell>
          <cell r="G151">
            <v>0</v>
          </cell>
          <cell r="H151">
            <v>24146</v>
          </cell>
        </row>
        <row r="152">
          <cell r="A152">
            <v>1516</v>
          </cell>
          <cell r="B152" t="str">
            <v>Moyen</v>
          </cell>
          <cell r="D152" t="str">
            <v>*</v>
          </cell>
          <cell r="F152">
            <v>1</v>
          </cell>
          <cell r="G152">
            <v>0</v>
          </cell>
          <cell r="H152">
            <v>124101</v>
          </cell>
        </row>
        <row r="153">
          <cell r="A153">
            <v>1527</v>
          </cell>
          <cell r="B153" t="str">
            <v>Moyen</v>
          </cell>
          <cell r="D153" t="str">
            <v>*</v>
          </cell>
          <cell r="F153">
            <v>1</v>
          </cell>
          <cell r="G153">
            <v>0</v>
          </cell>
          <cell r="H153">
            <v>61660</v>
          </cell>
        </row>
        <row r="154">
          <cell r="A154">
            <v>1534</v>
          </cell>
          <cell r="B154" t="str">
            <v>Moyen</v>
          </cell>
          <cell r="D154" t="str">
            <v>*</v>
          </cell>
          <cell r="F154">
            <v>1</v>
          </cell>
          <cell r="G154">
            <v>0</v>
          </cell>
          <cell r="H154">
            <v>0</v>
          </cell>
        </row>
        <row r="155">
          <cell r="A155">
            <v>1543</v>
          </cell>
          <cell r="B155" t="str">
            <v>Moyen</v>
          </cell>
          <cell r="D155" t="str">
            <v>*</v>
          </cell>
          <cell r="F155">
            <v>1</v>
          </cell>
          <cell r="G155">
            <v>0</v>
          </cell>
          <cell r="H155">
            <v>0</v>
          </cell>
        </row>
        <row r="156">
          <cell r="A156">
            <v>1544</v>
          </cell>
          <cell r="B156" t="str">
            <v>Moyen</v>
          </cell>
          <cell r="D156" t="str">
            <v>*</v>
          </cell>
          <cell r="F156">
            <v>1</v>
          </cell>
          <cell r="G156">
            <v>0</v>
          </cell>
          <cell r="H156">
            <v>590</v>
          </cell>
        </row>
        <row r="157">
          <cell r="A157">
            <v>1590</v>
          </cell>
          <cell r="B157" t="str">
            <v>Moyen</v>
          </cell>
          <cell r="D157" t="str">
            <v>*</v>
          </cell>
          <cell r="F157">
            <v>1</v>
          </cell>
          <cell r="G157">
            <v>0</v>
          </cell>
          <cell r="H157">
            <v>0</v>
          </cell>
        </row>
        <row r="158">
          <cell r="A158">
            <v>1626</v>
          </cell>
          <cell r="B158" t="str">
            <v>Moyen</v>
          </cell>
          <cell r="D158" t="str">
            <v>*</v>
          </cell>
          <cell r="F158">
            <v>1</v>
          </cell>
          <cell r="G158">
            <v>0</v>
          </cell>
          <cell r="H158">
            <v>0</v>
          </cell>
        </row>
        <row r="159">
          <cell r="A159">
            <v>1655</v>
          </cell>
          <cell r="B159" t="str">
            <v>Moyen</v>
          </cell>
          <cell r="D159" t="str">
            <v>*</v>
          </cell>
          <cell r="F159">
            <v>1</v>
          </cell>
          <cell r="G159">
            <v>0</v>
          </cell>
          <cell r="H159">
            <v>45</v>
          </cell>
        </row>
        <row r="160">
          <cell r="A160">
            <v>1657</v>
          </cell>
          <cell r="B160" t="str">
            <v>Moyen</v>
          </cell>
          <cell r="D160" t="str">
            <v>*</v>
          </cell>
          <cell r="F160">
            <v>1</v>
          </cell>
          <cell r="G160">
            <v>0</v>
          </cell>
          <cell r="H160">
            <v>0</v>
          </cell>
        </row>
        <row r="161">
          <cell r="A161">
            <v>1679</v>
          </cell>
          <cell r="B161" t="str">
            <v>Moyen</v>
          </cell>
          <cell r="D161" t="str">
            <v>*</v>
          </cell>
          <cell r="F161">
            <v>1</v>
          </cell>
          <cell r="G161">
            <v>0</v>
          </cell>
          <cell r="H161">
            <v>0</v>
          </cell>
        </row>
        <row r="162">
          <cell r="A162">
            <v>1681</v>
          </cell>
          <cell r="B162" t="str">
            <v>Moyen</v>
          </cell>
          <cell r="D162" t="str">
            <v>*</v>
          </cell>
          <cell r="F162">
            <v>1</v>
          </cell>
          <cell r="G162">
            <v>0</v>
          </cell>
          <cell r="H162">
            <v>0</v>
          </cell>
        </row>
        <row r="163">
          <cell r="A163">
            <v>1683</v>
          </cell>
          <cell r="B163" t="str">
            <v>Moyen</v>
          </cell>
          <cell r="D163" t="str">
            <v>*</v>
          </cell>
          <cell r="F163">
            <v>1</v>
          </cell>
          <cell r="G163">
            <v>0</v>
          </cell>
          <cell r="H163">
            <v>0</v>
          </cell>
        </row>
        <row r="164">
          <cell r="A164">
            <v>1705</v>
          </cell>
          <cell r="B164" t="str">
            <v>Moyen</v>
          </cell>
          <cell r="D164" t="str">
            <v>*</v>
          </cell>
          <cell r="F164">
            <v>1</v>
          </cell>
          <cell r="G164">
            <v>0</v>
          </cell>
          <cell r="H164">
            <v>80145</v>
          </cell>
        </row>
        <row r="165">
          <cell r="A165">
            <v>1712</v>
          </cell>
          <cell r="B165" t="str">
            <v>Moyen</v>
          </cell>
          <cell r="D165" t="str">
            <v>*</v>
          </cell>
          <cell r="F165">
            <v>1</v>
          </cell>
          <cell r="G165">
            <v>0</v>
          </cell>
          <cell r="H165">
            <v>2355600</v>
          </cell>
        </row>
        <row r="166">
          <cell r="A166">
            <v>1718</v>
          </cell>
          <cell r="B166" t="str">
            <v>Moyen</v>
          </cell>
          <cell r="D166" t="str">
            <v>*</v>
          </cell>
          <cell r="F166">
            <v>1</v>
          </cell>
          <cell r="G166">
            <v>0</v>
          </cell>
          <cell r="H166">
            <v>0</v>
          </cell>
        </row>
        <row r="167">
          <cell r="A167">
            <v>1730</v>
          </cell>
          <cell r="B167" t="str">
            <v>Moyen</v>
          </cell>
          <cell r="D167" t="str">
            <v>*</v>
          </cell>
          <cell r="F167">
            <v>1</v>
          </cell>
          <cell r="G167">
            <v>0</v>
          </cell>
          <cell r="H167">
            <v>1</v>
          </cell>
        </row>
        <row r="168">
          <cell r="A168">
            <v>1737</v>
          </cell>
          <cell r="B168" t="str">
            <v>Moyen</v>
          </cell>
          <cell r="D168" t="str">
            <v>*</v>
          </cell>
          <cell r="F168">
            <v>1</v>
          </cell>
          <cell r="G168">
            <v>0</v>
          </cell>
          <cell r="H168">
            <v>38801</v>
          </cell>
        </row>
        <row r="169">
          <cell r="A169">
            <v>1738</v>
          </cell>
          <cell r="B169" t="str">
            <v>Moyen</v>
          </cell>
          <cell r="D169" t="str">
            <v>*</v>
          </cell>
          <cell r="F169">
            <v>1</v>
          </cell>
          <cell r="G169">
            <v>0</v>
          </cell>
          <cell r="H169">
            <v>0</v>
          </cell>
        </row>
        <row r="170">
          <cell r="A170">
            <v>1777</v>
          </cell>
          <cell r="B170" t="str">
            <v>Moyen</v>
          </cell>
          <cell r="D170" t="str">
            <v>*</v>
          </cell>
          <cell r="F170">
            <v>1</v>
          </cell>
          <cell r="G170">
            <v>0</v>
          </cell>
          <cell r="H170">
            <v>0</v>
          </cell>
        </row>
        <row r="171">
          <cell r="A171">
            <v>1795</v>
          </cell>
          <cell r="B171" t="str">
            <v>Moyen</v>
          </cell>
          <cell r="D171" t="str">
            <v>*</v>
          </cell>
          <cell r="F171">
            <v>1</v>
          </cell>
          <cell r="G171">
            <v>0</v>
          </cell>
          <cell r="H171">
            <v>0</v>
          </cell>
        </row>
        <row r="172">
          <cell r="A172">
            <v>1804</v>
          </cell>
          <cell r="B172" t="str">
            <v>Moyen</v>
          </cell>
          <cell r="D172" t="str">
            <v>*</v>
          </cell>
          <cell r="F172">
            <v>1</v>
          </cell>
          <cell r="G172">
            <v>0</v>
          </cell>
          <cell r="H172">
            <v>0</v>
          </cell>
        </row>
        <row r="173">
          <cell r="A173">
            <v>1810</v>
          </cell>
          <cell r="B173" t="str">
            <v>Moyen</v>
          </cell>
          <cell r="D173" t="str">
            <v>*</v>
          </cell>
          <cell r="F173">
            <v>1</v>
          </cell>
          <cell r="G173">
            <v>0</v>
          </cell>
          <cell r="H173">
            <v>0</v>
          </cell>
        </row>
        <row r="174">
          <cell r="A174">
            <v>1818</v>
          </cell>
          <cell r="B174" t="str">
            <v>Moyen</v>
          </cell>
          <cell r="D174" t="str">
            <v>*</v>
          </cell>
          <cell r="F174">
            <v>1</v>
          </cell>
          <cell r="G174">
            <v>0</v>
          </cell>
          <cell r="H174">
            <v>0</v>
          </cell>
        </row>
        <row r="175">
          <cell r="A175">
            <v>1833</v>
          </cell>
          <cell r="B175" t="str">
            <v>Moyen</v>
          </cell>
          <cell r="D175" t="str">
            <v>*</v>
          </cell>
          <cell r="F175">
            <v>1</v>
          </cell>
          <cell r="G175">
            <v>0</v>
          </cell>
          <cell r="H175">
            <v>0</v>
          </cell>
        </row>
        <row r="176">
          <cell r="A176">
            <v>1859</v>
          </cell>
          <cell r="B176" t="str">
            <v>Moyen</v>
          </cell>
          <cell r="D176" t="str">
            <v>*</v>
          </cell>
          <cell r="F176">
            <v>1</v>
          </cell>
          <cell r="G176">
            <v>0</v>
          </cell>
          <cell r="H176">
            <v>289277</v>
          </cell>
        </row>
        <row r="177">
          <cell r="A177">
            <v>1873</v>
          </cell>
          <cell r="B177" t="str">
            <v>Moyen</v>
          </cell>
          <cell r="D177" t="str">
            <v>*</v>
          </cell>
          <cell r="F177">
            <v>1</v>
          </cell>
          <cell r="G177">
            <v>0</v>
          </cell>
          <cell r="H177">
            <v>0</v>
          </cell>
        </row>
        <row r="178">
          <cell r="A178">
            <v>1878</v>
          </cell>
          <cell r="B178" t="str">
            <v>Moyen</v>
          </cell>
          <cell r="D178" t="str">
            <v>*</v>
          </cell>
          <cell r="F178">
            <v>1</v>
          </cell>
          <cell r="G178">
            <v>0</v>
          </cell>
          <cell r="H178">
            <v>0</v>
          </cell>
        </row>
        <row r="179">
          <cell r="A179">
            <v>1891</v>
          </cell>
          <cell r="B179" t="str">
            <v>Moyen</v>
          </cell>
          <cell r="D179" t="str">
            <v>*</v>
          </cell>
          <cell r="F179">
            <v>1</v>
          </cell>
          <cell r="G179">
            <v>0</v>
          </cell>
          <cell r="H179">
            <v>0</v>
          </cell>
        </row>
        <row r="180">
          <cell r="A180">
            <v>1920</v>
          </cell>
          <cell r="B180" t="str">
            <v>Moyen</v>
          </cell>
          <cell r="D180" t="str">
            <v>*</v>
          </cell>
          <cell r="F180">
            <v>1</v>
          </cell>
          <cell r="G180">
            <v>0</v>
          </cell>
          <cell r="H180">
            <v>0</v>
          </cell>
        </row>
        <row r="181">
          <cell r="A181">
            <v>1921</v>
          </cell>
          <cell r="B181" t="str">
            <v>Moyen</v>
          </cell>
          <cell r="D181" t="str">
            <v>*</v>
          </cell>
          <cell r="F181">
            <v>1</v>
          </cell>
          <cell r="G181">
            <v>0</v>
          </cell>
          <cell r="H181">
            <v>3597348</v>
          </cell>
        </row>
        <row r="182">
          <cell r="A182">
            <v>1922</v>
          </cell>
          <cell r="B182" t="str">
            <v>Moyen</v>
          </cell>
          <cell r="D182" t="str">
            <v>*</v>
          </cell>
          <cell r="F182">
            <v>1</v>
          </cell>
          <cell r="G182">
            <v>0</v>
          </cell>
          <cell r="H182">
            <v>16399</v>
          </cell>
        </row>
        <row r="183">
          <cell r="A183">
            <v>1923</v>
          </cell>
          <cell r="B183" t="str">
            <v>Moyen</v>
          </cell>
          <cell r="D183" t="str">
            <v>*</v>
          </cell>
          <cell r="F183">
            <v>1</v>
          </cell>
          <cell r="G183">
            <v>0</v>
          </cell>
          <cell r="H183">
            <v>228929</v>
          </cell>
        </row>
        <row r="184">
          <cell r="A184">
            <v>1924</v>
          </cell>
          <cell r="B184" t="str">
            <v>Moyen</v>
          </cell>
          <cell r="D184" t="str">
            <v>*</v>
          </cell>
          <cell r="F184">
            <v>1</v>
          </cell>
          <cell r="G184">
            <v>0</v>
          </cell>
          <cell r="H184">
            <v>0</v>
          </cell>
        </row>
        <row r="185">
          <cell r="A185">
            <v>1925</v>
          </cell>
          <cell r="B185" t="str">
            <v>Moyen</v>
          </cell>
          <cell r="D185" t="str">
            <v>*</v>
          </cell>
          <cell r="F185">
            <v>1</v>
          </cell>
          <cell r="G185">
            <v>0</v>
          </cell>
          <cell r="H185">
            <v>31322</v>
          </cell>
        </row>
        <row r="186">
          <cell r="A186">
            <v>1926</v>
          </cell>
          <cell r="B186" t="str">
            <v>Moyen</v>
          </cell>
          <cell r="D186" t="str">
            <v>*</v>
          </cell>
          <cell r="F186">
            <v>1</v>
          </cell>
          <cell r="G186">
            <v>0</v>
          </cell>
          <cell r="H186">
            <v>60348</v>
          </cell>
        </row>
        <row r="187">
          <cell r="A187">
            <v>1927</v>
          </cell>
          <cell r="B187" t="str">
            <v>Moyen</v>
          </cell>
          <cell r="D187" t="str">
            <v>*</v>
          </cell>
          <cell r="F187">
            <v>1</v>
          </cell>
          <cell r="G187">
            <v>0</v>
          </cell>
          <cell r="H187">
            <v>80027</v>
          </cell>
        </row>
        <row r="188">
          <cell r="A188">
            <v>1928</v>
          </cell>
          <cell r="B188" t="str">
            <v>Moyen</v>
          </cell>
          <cell r="D188" t="str">
            <v>*</v>
          </cell>
          <cell r="F188">
            <v>1</v>
          </cell>
          <cell r="G188">
            <v>0</v>
          </cell>
          <cell r="H188">
            <v>0</v>
          </cell>
        </row>
        <row r="189">
          <cell r="A189">
            <v>1929</v>
          </cell>
          <cell r="B189" t="str">
            <v>Moyen</v>
          </cell>
          <cell r="D189" t="str">
            <v>*</v>
          </cell>
          <cell r="F189">
            <v>1</v>
          </cell>
          <cell r="G189">
            <v>0</v>
          </cell>
          <cell r="H189">
            <v>0</v>
          </cell>
        </row>
        <row r="190">
          <cell r="A190">
            <v>1930</v>
          </cell>
          <cell r="B190" t="str">
            <v>Moyen</v>
          </cell>
          <cell r="D190" t="str">
            <v>*</v>
          </cell>
          <cell r="F190">
            <v>1</v>
          </cell>
          <cell r="G190">
            <v>0</v>
          </cell>
          <cell r="H190">
            <v>48878</v>
          </cell>
        </row>
        <row r="191">
          <cell r="A191">
            <v>1931</v>
          </cell>
          <cell r="B191" t="str">
            <v>Moyen</v>
          </cell>
          <cell r="D191" t="str">
            <v>*</v>
          </cell>
          <cell r="F191">
            <v>1</v>
          </cell>
          <cell r="G191">
            <v>0</v>
          </cell>
          <cell r="H191">
            <v>130207</v>
          </cell>
        </row>
        <row r="192">
          <cell r="A192">
            <v>1932</v>
          </cell>
          <cell r="B192" t="str">
            <v>Moyen</v>
          </cell>
          <cell r="D192" t="str">
            <v>*</v>
          </cell>
          <cell r="F192">
            <v>1</v>
          </cell>
          <cell r="G192">
            <v>0</v>
          </cell>
          <cell r="H192">
            <v>0</v>
          </cell>
        </row>
        <row r="193">
          <cell r="A193">
            <v>1933</v>
          </cell>
          <cell r="B193" t="str">
            <v>Moyen</v>
          </cell>
          <cell r="D193" t="str">
            <v>*</v>
          </cell>
          <cell r="F193">
            <v>1</v>
          </cell>
          <cell r="G193">
            <v>0</v>
          </cell>
          <cell r="H193">
            <v>0</v>
          </cell>
        </row>
        <row r="194">
          <cell r="A194">
            <v>1934</v>
          </cell>
          <cell r="B194" t="str">
            <v>Moyen</v>
          </cell>
          <cell r="D194" t="str">
            <v>*</v>
          </cell>
          <cell r="F194">
            <v>1</v>
          </cell>
          <cell r="G194">
            <v>0</v>
          </cell>
          <cell r="H194">
            <v>29846</v>
          </cell>
        </row>
        <row r="195">
          <cell r="A195">
            <v>1935</v>
          </cell>
          <cell r="B195" t="str">
            <v>Moyen</v>
          </cell>
          <cell r="D195" t="str">
            <v>*</v>
          </cell>
          <cell r="F195">
            <v>1</v>
          </cell>
          <cell r="G195">
            <v>0</v>
          </cell>
          <cell r="H195">
            <v>1500</v>
          </cell>
        </row>
        <row r="196">
          <cell r="A196">
            <v>1936</v>
          </cell>
          <cell r="B196" t="str">
            <v>Moyen</v>
          </cell>
          <cell r="D196" t="str">
            <v>*</v>
          </cell>
          <cell r="F196">
            <v>1</v>
          </cell>
          <cell r="G196">
            <v>0</v>
          </cell>
          <cell r="H196">
            <v>56084</v>
          </cell>
        </row>
        <row r="197">
          <cell r="A197">
            <v>1937</v>
          </cell>
          <cell r="B197" t="str">
            <v>Moyen</v>
          </cell>
          <cell r="D197" t="str">
            <v>*</v>
          </cell>
          <cell r="F197">
            <v>1</v>
          </cell>
          <cell r="G197">
            <v>0</v>
          </cell>
          <cell r="H197">
            <v>30502</v>
          </cell>
        </row>
        <row r="198">
          <cell r="A198">
            <v>1938</v>
          </cell>
          <cell r="B198" t="str">
            <v>Moyen</v>
          </cell>
          <cell r="D198" t="str">
            <v>*</v>
          </cell>
          <cell r="F198">
            <v>1</v>
          </cell>
          <cell r="G198">
            <v>0</v>
          </cell>
          <cell r="H198">
            <v>48869</v>
          </cell>
        </row>
        <row r="199">
          <cell r="A199">
            <v>1939</v>
          </cell>
          <cell r="B199" t="str">
            <v>Moyen</v>
          </cell>
          <cell r="D199" t="str">
            <v>*</v>
          </cell>
          <cell r="F199">
            <v>1</v>
          </cell>
          <cell r="G199">
            <v>0</v>
          </cell>
          <cell r="H199">
            <v>16246</v>
          </cell>
        </row>
        <row r="200">
          <cell r="A200">
            <v>1940</v>
          </cell>
          <cell r="B200" t="str">
            <v>Moyen</v>
          </cell>
          <cell r="D200" t="str">
            <v>*</v>
          </cell>
          <cell r="F200">
            <v>1</v>
          </cell>
          <cell r="G200">
            <v>0</v>
          </cell>
          <cell r="H200">
            <v>6560</v>
          </cell>
        </row>
        <row r="201">
          <cell r="A201">
            <v>1941</v>
          </cell>
          <cell r="B201" t="str">
            <v>Moyen</v>
          </cell>
          <cell r="D201" t="str">
            <v>*</v>
          </cell>
          <cell r="F201">
            <v>1</v>
          </cell>
          <cell r="G201">
            <v>0</v>
          </cell>
          <cell r="H201">
            <v>16399</v>
          </cell>
        </row>
        <row r="202">
          <cell r="A202">
            <v>1942</v>
          </cell>
          <cell r="B202" t="str">
            <v>Moyen</v>
          </cell>
          <cell r="D202" t="str">
            <v>*</v>
          </cell>
          <cell r="F202">
            <v>1</v>
          </cell>
          <cell r="G202">
            <v>0</v>
          </cell>
          <cell r="H202">
            <v>3280</v>
          </cell>
        </row>
        <row r="203">
          <cell r="A203">
            <v>1943</v>
          </cell>
          <cell r="B203" t="str">
            <v>Moyen</v>
          </cell>
          <cell r="D203" t="str">
            <v>*</v>
          </cell>
          <cell r="F203">
            <v>1</v>
          </cell>
          <cell r="G203">
            <v>0</v>
          </cell>
          <cell r="H203">
            <v>14431</v>
          </cell>
        </row>
        <row r="204">
          <cell r="A204">
            <v>1944</v>
          </cell>
          <cell r="B204" t="str">
            <v>Moyen</v>
          </cell>
          <cell r="D204" t="str">
            <v>*</v>
          </cell>
          <cell r="F204">
            <v>1</v>
          </cell>
          <cell r="G204">
            <v>0</v>
          </cell>
          <cell r="H204">
            <v>6560</v>
          </cell>
        </row>
        <row r="205">
          <cell r="A205">
            <v>1945</v>
          </cell>
          <cell r="B205" t="str">
            <v>Moyen</v>
          </cell>
          <cell r="D205" t="str">
            <v>*</v>
          </cell>
          <cell r="F205">
            <v>1</v>
          </cell>
          <cell r="G205">
            <v>0</v>
          </cell>
          <cell r="H205">
            <v>0</v>
          </cell>
        </row>
        <row r="206">
          <cell r="A206">
            <v>1946</v>
          </cell>
          <cell r="B206" t="str">
            <v>Moyen</v>
          </cell>
          <cell r="D206" t="str">
            <v>*</v>
          </cell>
          <cell r="F206">
            <v>1</v>
          </cell>
          <cell r="G206">
            <v>0</v>
          </cell>
          <cell r="H206">
            <v>0</v>
          </cell>
        </row>
        <row r="207">
          <cell r="A207">
            <v>1947</v>
          </cell>
          <cell r="B207" t="str">
            <v>Moyen</v>
          </cell>
          <cell r="D207" t="str">
            <v>*</v>
          </cell>
          <cell r="F207">
            <v>1</v>
          </cell>
          <cell r="G207">
            <v>0</v>
          </cell>
          <cell r="H207">
            <v>0</v>
          </cell>
        </row>
        <row r="208">
          <cell r="A208">
            <v>1948</v>
          </cell>
          <cell r="B208" t="str">
            <v>Moyen</v>
          </cell>
          <cell r="D208" t="str">
            <v>*</v>
          </cell>
          <cell r="F208">
            <v>1</v>
          </cell>
          <cell r="G208">
            <v>0</v>
          </cell>
          <cell r="H208">
            <v>968265</v>
          </cell>
        </row>
        <row r="209">
          <cell r="A209">
            <v>1949</v>
          </cell>
          <cell r="B209" t="str">
            <v>Moyen</v>
          </cell>
          <cell r="D209" t="str">
            <v>*</v>
          </cell>
          <cell r="F209">
            <v>1</v>
          </cell>
          <cell r="G209">
            <v>0</v>
          </cell>
          <cell r="H209">
            <v>281274</v>
          </cell>
        </row>
        <row r="210">
          <cell r="A210">
            <v>1950</v>
          </cell>
          <cell r="B210" t="str">
            <v>Moyen</v>
          </cell>
          <cell r="D210" t="str">
            <v>*</v>
          </cell>
          <cell r="F210">
            <v>1</v>
          </cell>
          <cell r="G210">
            <v>0</v>
          </cell>
          <cell r="H210">
            <v>0</v>
          </cell>
        </row>
        <row r="211">
          <cell r="A211">
            <v>1951</v>
          </cell>
          <cell r="B211" t="str">
            <v>Moyen</v>
          </cell>
          <cell r="D211" t="str">
            <v>*</v>
          </cell>
          <cell r="F211">
            <v>1</v>
          </cell>
          <cell r="G211">
            <v>0</v>
          </cell>
          <cell r="H211">
            <v>250</v>
          </cell>
        </row>
        <row r="212">
          <cell r="A212">
            <v>1952</v>
          </cell>
          <cell r="B212" t="str">
            <v>Moyen</v>
          </cell>
          <cell r="D212" t="str">
            <v>*</v>
          </cell>
          <cell r="F212">
            <v>1</v>
          </cell>
          <cell r="G212">
            <v>0</v>
          </cell>
          <cell r="H212">
            <v>33.124880217620799</v>
          </cell>
        </row>
        <row r="213">
          <cell r="A213">
            <v>1953</v>
          </cell>
          <cell r="B213" t="str">
            <v>Moyen</v>
          </cell>
          <cell r="D213" t="str">
            <v>*</v>
          </cell>
          <cell r="F213">
            <v>1</v>
          </cell>
          <cell r="G213">
            <v>0</v>
          </cell>
          <cell r="H213">
            <v>226621</v>
          </cell>
        </row>
        <row r="214">
          <cell r="A214">
            <v>1954</v>
          </cell>
          <cell r="B214" t="str">
            <v>Moyen</v>
          </cell>
          <cell r="D214" t="str">
            <v>*</v>
          </cell>
          <cell r="F214">
            <v>1</v>
          </cell>
          <cell r="G214">
            <v>0</v>
          </cell>
          <cell r="H214">
            <v>0</v>
          </cell>
        </row>
        <row r="215">
          <cell r="A215">
            <v>1955</v>
          </cell>
          <cell r="B215" t="str">
            <v>Moyen</v>
          </cell>
          <cell r="D215" t="str">
            <v>*</v>
          </cell>
          <cell r="F215">
            <v>1</v>
          </cell>
          <cell r="G215">
            <v>0</v>
          </cell>
          <cell r="H215">
            <v>0</v>
          </cell>
        </row>
        <row r="216">
          <cell r="A216">
            <v>1956</v>
          </cell>
          <cell r="B216" t="str">
            <v>Moyen</v>
          </cell>
          <cell r="D216" t="str">
            <v>*</v>
          </cell>
          <cell r="F216">
            <v>1</v>
          </cell>
          <cell r="G216">
            <v>0</v>
          </cell>
          <cell r="H216">
            <v>0</v>
          </cell>
        </row>
        <row r="217">
          <cell r="A217">
            <v>1957</v>
          </cell>
          <cell r="B217" t="str">
            <v>Moyen</v>
          </cell>
          <cell r="D217" t="str">
            <v>*</v>
          </cell>
          <cell r="F217">
            <v>1</v>
          </cell>
          <cell r="G217">
            <v>0</v>
          </cell>
          <cell r="H217">
            <v>2206</v>
          </cell>
        </row>
        <row r="218">
          <cell r="A218">
            <v>1958</v>
          </cell>
          <cell r="B218" t="str">
            <v>Moyen</v>
          </cell>
          <cell r="D218" t="str">
            <v>*</v>
          </cell>
          <cell r="F218">
            <v>1</v>
          </cell>
          <cell r="G218">
            <v>0</v>
          </cell>
          <cell r="H218">
            <v>121410</v>
          </cell>
        </row>
        <row r="219">
          <cell r="A219">
            <v>1959</v>
          </cell>
          <cell r="B219" t="str">
            <v>Moyen</v>
          </cell>
          <cell r="D219" t="str">
            <v>*</v>
          </cell>
          <cell r="F219">
            <v>1</v>
          </cell>
          <cell r="G219">
            <v>0</v>
          </cell>
          <cell r="H219">
            <v>55672</v>
          </cell>
        </row>
        <row r="220">
          <cell r="A220">
            <v>1960</v>
          </cell>
          <cell r="B220" t="str">
            <v>Moyen</v>
          </cell>
          <cell r="D220" t="str">
            <v>*</v>
          </cell>
          <cell r="F220">
            <v>1</v>
          </cell>
          <cell r="G220">
            <v>0</v>
          </cell>
          <cell r="H220">
            <v>153494</v>
          </cell>
        </row>
        <row r="221">
          <cell r="A221">
            <v>1961</v>
          </cell>
          <cell r="B221" t="str">
            <v>Moyen</v>
          </cell>
          <cell r="D221" t="str">
            <v>*</v>
          </cell>
          <cell r="F221">
            <v>1</v>
          </cell>
          <cell r="G221">
            <v>0</v>
          </cell>
          <cell r="H221">
            <v>0</v>
          </cell>
        </row>
        <row r="222">
          <cell r="A222">
            <v>1962</v>
          </cell>
          <cell r="B222" t="str">
            <v>Moyen</v>
          </cell>
          <cell r="D222" t="str">
            <v>*</v>
          </cell>
          <cell r="F222">
            <v>1</v>
          </cell>
          <cell r="G222">
            <v>0</v>
          </cell>
          <cell r="H222">
            <v>177354</v>
          </cell>
        </row>
        <row r="223">
          <cell r="A223">
            <v>1963</v>
          </cell>
          <cell r="B223" t="str">
            <v>Moyen</v>
          </cell>
          <cell r="D223" t="str">
            <v>*</v>
          </cell>
          <cell r="F223">
            <v>1</v>
          </cell>
          <cell r="G223">
            <v>0</v>
          </cell>
          <cell r="H223">
            <v>1415</v>
          </cell>
        </row>
        <row r="224">
          <cell r="A224">
            <v>1964</v>
          </cell>
          <cell r="B224" t="str">
            <v>Moyen</v>
          </cell>
          <cell r="D224" t="str">
            <v>*</v>
          </cell>
          <cell r="F224">
            <v>1</v>
          </cell>
          <cell r="G224">
            <v>0</v>
          </cell>
          <cell r="H224">
            <v>782121.15724502201</v>
          </cell>
        </row>
        <row r="225">
          <cell r="A225">
            <v>1965</v>
          </cell>
          <cell r="B225" t="str">
            <v>Moyen</v>
          </cell>
          <cell r="D225" t="str">
            <v>*</v>
          </cell>
          <cell r="F225">
            <v>1</v>
          </cell>
          <cell r="G225">
            <v>0</v>
          </cell>
          <cell r="H225">
            <v>556820</v>
          </cell>
        </row>
        <row r="226">
          <cell r="A226">
            <v>1966</v>
          </cell>
          <cell r="B226" t="str">
            <v>Moyen</v>
          </cell>
          <cell r="D226" t="str">
            <v>*</v>
          </cell>
          <cell r="F226">
            <v>1</v>
          </cell>
          <cell r="G226">
            <v>0</v>
          </cell>
          <cell r="H226">
            <v>0</v>
          </cell>
        </row>
        <row r="227">
          <cell r="A227">
            <v>1967</v>
          </cell>
          <cell r="B227" t="str">
            <v>Moyen</v>
          </cell>
          <cell r="D227" t="str">
            <v>*</v>
          </cell>
          <cell r="F227">
            <v>1</v>
          </cell>
          <cell r="G227">
            <v>0</v>
          </cell>
          <cell r="H227">
            <v>83238</v>
          </cell>
        </row>
        <row r="228">
          <cell r="A228">
            <v>1968</v>
          </cell>
          <cell r="B228" t="str">
            <v>Moyen</v>
          </cell>
          <cell r="D228" t="str">
            <v>*</v>
          </cell>
          <cell r="F228">
            <v>1</v>
          </cell>
          <cell r="G228">
            <v>0</v>
          </cell>
          <cell r="H228">
            <v>185070</v>
          </cell>
        </row>
        <row r="229">
          <cell r="A229">
            <v>1969</v>
          </cell>
          <cell r="B229" t="str">
            <v>Moyen</v>
          </cell>
          <cell r="D229" t="str">
            <v>*</v>
          </cell>
          <cell r="F229">
            <v>1</v>
          </cell>
          <cell r="G229">
            <v>0</v>
          </cell>
          <cell r="H229">
            <v>1</v>
          </cell>
        </row>
        <row r="230">
          <cell r="A230">
            <v>1970</v>
          </cell>
          <cell r="B230" t="str">
            <v>Moyen</v>
          </cell>
          <cell r="D230" t="str">
            <v>*</v>
          </cell>
          <cell r="F230">
            <v>1</v>
          </cell>
          <cell r="G230">
            <v>0</v>
          </cell>
          <cell r="H230">
            <v>0</v>
          </cell>
        </row>
        <row r="231">
          <cell r="A231">
            <v>1971</v>
          </cell>
          <cell r="B231" t="str">
            <v>Moyen</v>
          </cell>
          <cell r="D231" t="str">
            <v>*</v>
          </cell>
          <cell r="F231">
            <v>1</v>
          </cell>
          <cell r="G231">
            <v>0</v>
          </cell>
          <cell r="H231">
            <v>0</v>
          </cell>
        </row>
        <row r="232">
          <cell r="A232">
            <v>1972</v>
          </cell>
          <cell r="B232" t="str">
            <v>Moyen</v>
          </cell>
          <cell r="D232" t="str">
            <v>*</v>
          </cell>
          <cell r="F232">
            <v>1</v>
          </cell>
          <cell r="G232">
            <v>0</v>
          </cell>
          <cell r="H232">
            <v>0</v>
          </cell>
        </row>
        <row r="233">
          <cell r="A233">
            <v>1973</v>
          </cell>
          <cell r="B233" t="str">
            <v>Moyen</v>
          </cell>
          <cell r="D233" t="str">
            <v>*</v>
          </cell>
          <cell r="F233">
            <v>1</v>
          </cell>
          <cell r="G233">
            <v>0</v>
          </cell>
          <cell r="H233">
            <v>0</v>
          </cell>
        </row>
        <row r="234">
          <cell r="A234">
            <v>1974</v>
          </cell>
          <cell r="B234" t="str">
            <v>Moyen</v>
          </cell>
          <cell r="D234" t="str">
            <v>*</v>
          </cell>
          <cell r="F234">
            <v>1</v>
          </cell>
          <cell r="G234">
            <v>0</v>
          </cell>
          <cell r="H234">
            <v>539109.19306666602</v>
          </cell>
        </row>
        <row r="235">
          <cell r="A235">
            <v>1975</v>
          </cell>
          <cell r="B235" t="str">
            <v>Moyen</v>
          </cell>
          <cell r="D235" t="str">
            <v>*</v>
          </cell>
          <cell r="F235">
            <v>1</v>
          </cell>
          <cell r="G235">
            <v>0</v>
          </cell>
          <cell r="H235">
            <v>0</v>
          </cell>
        </row>
        <row r="236">
          <cell r="A236">
            <v>1976</v>
          </cell>
          <cell r="B236" t="str">
            <v>Moyen</v>
          </cell>
          <cell r="D236" t="str">
            <v>*</v>
          </cell>
          <cell r="F236">
            <v>1</v>
          </cell>
          <cell r="G236">
            <v>0</v>
          </cell>
          <cell r="H236">
            <v>0</v>
          </cell>
        </row>
        <row r="237">
          <cell r="A237">
            <v>1977</v>
          </cell>
          <cell r="B237" t="str">
            <v>Moyen</v>
          </cell>
          <cell r="D237" t="str">
            <v>*</v>
          </cell>
          <cell r="F237">
            <v>1</v>
          </cell>
          <cell r="G237">
            <v>0</v>
          </cell>
          <cell r="H237">
            <v>0</v>
          </cell>
        </row>
        <row r="238">
          <cell r="A238">
            <v>1978</v>
          </cell>
          <cell r="B238" t="str">
            <v>Moyen</v>
          </cell>
          <cell r="D238" t="str">
            <v>*</v>
          </cell>
          <cell r="F238">
            <v>1</v>
          </cell>
          <cell r="G238">
            <v>0</v>
          </cell>
          <cell r="H238">
            <v>319</v>
          </cell>
        </row>
        <row r="239">
          <cell r="A239">
            <v>1979</v>
          </cell>
          <cell r="B239" t="str">
            <v>Moyen</v>
          </cell>
          <cell r="D239" t="str">
            <v>*</v>
          </cell>
          <cell r="F239">
            <v>1</v>
          </cell>
          <cell r="G239">
            <v>0</v>
          </cell>
          <cell r="H239">
            <v>0</v>
          </cell>
        </row>
        <row r="240">
          <cell r="A240">
            <v>1980</v>
          </cell>
          <cell r="B240" t="str">
            <v>Moyen</v>
          </cell>
          <cell r="D240" t="str">
            <v>*</v>
          </cell>
          <cell r="F240">
            <v>1</v>
          </cell>
          <cell r="G240">
            <v>0</v>
          </cell>
          <cell r="H240">
            <v>0</v>
          </cell>
        </row>
        <row r="241">
          <cell r="A241">
            <v>1981</v>
          </cell>
          <cell r="B241" t="str">
            <v>Moyen</v>
          </cell>
          <cell r="D241" t="str">
            <v>*</v>
          </cell>
          <cell r="F241">
            <v>1</v>
          </cell>
          <cell r="G241">
            <v>0</v>
          </cell>
          <cell r="H241">
            <v>0</v>
          </cell>
        </row>
        <row r="242">
          <cell r="A242">
            <v>1982</v>
          </cell>
          <cell r="B242" t="str">
            <v>Moyen</v>
          </cell>
          <cell r="D242" t="str">
            <v>*</v>
          </cell>
          <cell r="F242">
            <v>1</v>
          </cell>
          <cell r="G242">
            <v>0</v>
          </cell>
          <cell r="H242">
            <v>0</v>
          </cell>
        </row>
        <row r="243">
          <cell r="A243">
            <v>1983</v>
          </cell>
          <cell r="B243" t="str">
            <v>Moyen</v>
          </cell>
          <cell r="D243" t="str">
            <v>*</v>
          </cell>
          <cell r="F243">
            <v>1</v>
          </cell>
          <cell r="G243">
            <v>0</v>
          </cell>
          <cell r="H243">
            <v>0</v>
          </cell>
        </row>
        <row r="244">
          <cell r="A244">
            <v>1984</v>
          </cell>
          <cell r="B244" t="str">
            <v>Moyen</v>
          </cell>
          <cell r="D244" t="str">
            <v>*</v>
          </cell>
          <cell r="F244">
            <v>1</v>
          </cell>
          <cell r="G244">
            <v>0</v>
          </cell>
          <cell r="H244">
            <v>0</v>
          </cell>
        </row>
        <row r="245">
          <cell r="A245">
            <v>1985</v>
          </cell>
          <cell r="B245" t="str">
            <v>Moyen</v>
          </cell>
          <cell r="D245" t="str">
            <v>*</v>
          </cell>
          <cell r="F245">
            <v>1</v>
          </cell>
          <cell r="G245">
            <v>0</v>
          </cell>
          <cell r="H245">
            <v>0</v>
          </cell>
        </row>
        <row r="246">
          <cell r="A246">
            <v>1986</v>
          </cell>
          <cell r="B246" t="str">
            <v>Moyen</v>
          </cell>
          <cell r="D246" t="str">
            <v>*</v>
          </cell>
          <cell r="F246">
            <v>1</v>
          </cell>
          <cell r="G246">
            <v>0</v>
          </cell>
          <cell r="H246">
            <v>0</v>
          </cell>
        </row>
        <row r="247">
          <cell r="A247">
            <v>1987</v>
          </cell>
          <cell r="B247" t="str">
            <v>Moyen</v>
          </cell>
          <cell r="D247" t="str">
            <v>*</v>
          </cell>
          <cell r="F247">
            <v>1</v>
          </cell>
          <cell r="G247">
            <v>0</v>
          </cell>
          <cell r="H247">
            <v>0</v>
          </cell>
        </row>
        <row r="248">
          <cell r="A248">
            <v>1988</v>
          </cell>
          <cell r="B248" t="str">
            <v>Moyen</v>
          </cell>
          <cell r="D248" t="str">
            <v>*</v>
          </cell>
          <cell r="F248">
            <v>1</v>
          </cell>
          <cell r="G248">
            <v>0</v>
          </cell>
          <cell r="H248">
            <v>0</v>
          </cell>
        </row>
        <row r="249">
          <cell r="A249">
            <v>1989</v>
          </cell>
          <cell r="B249" t="str">
            <v>Moyen</v>
          </cell>
          <cell r="D249" t="str">
            <v>*</v>
          </cell>
          <cell r="F249">
            <v>1</v>
          </cell>
          <cell r="G249">
            <v>0</v>
          </cell>
          <cell r="H249">
            <v>0</v>
          </cell>
        </row>
        <row r="250">
          <cell r="A250">
            <v>1990</v>
          </cell>
          <cell r="B250" t="str">
            <v>Moyen</v>
          </cell>
          <cell r="D250" t="str">
            <v>*</v>
          </cell>
          <cell r="F250">
            <v>1</v>
          </cell>
          <cell r="G250">
            <v>0</v>
          </cell>
          <cell r="H250">
            <v>0</v>
          </cell>
        </row>
        <row r="251">
          <cell r="A251">
            <v>1991</v>
          </cell>
          <cell r="B251" t="str">
            <v>Moyen</v>
          </cell>
          <cell r="D251" t="str">
            <v>*</v>
          </cell>
          <cell r="F251">
            <v>1</v>
          </cell>
          <cell r="G251">
            <v>0</v>
          </cell>
          <cell r="H251">
            <v>0</v>
          </cell>
        </row>
        <row r="252">
          <cell r="A252">
            <v>1992</v>
          </cell>
          <cell r="B252" t="str">
            <v>Moyen</v>
          </cell>
          <cell r="D252" t="str">
            <v>*</v>
          </cell>
          <cell r="F252">
            <v>1</v>
          </cell>
          <cell r="G252">
            <v>0</v>
          </cell>
          <cell r="H252">
            <v>0</v>
          </cell>
        </row>
        <row r="253">
          <cell r="A253">
            <v>1993</v>
          </cell>
          <cell r="B253" t="str">
            <v>Moyen</v>
          </cell>
          <cell r="D253" t="str">
            <v>*</v>
          </cell>
          <cell r="F253">
            <v>1</v>
          </cell>
          <cell r="G253">
            <v>0</v>
          </cell>
          <cell r="H253">
            <v>0</v>
          </cell>
        </row>
        <row r="254">
          <cell r="A254">
            <v>1994</v>
          </cell>
          <cell r="B254" t="str">
            <v>Moyen</v>
          </cell>
          <cell r="D254" t="str">
            <v>*</v>
          </cell>
          <cell r="F254">
            <v>1</v>
          </cell>
          <cell r="G254">
            <v>0</v>
          </cell>
          <cell r="H254">
            <v>0</v>
          </cell>
        </row>
        <row r="255">
          <cell r="A255">
            <v>1995</v>
          </cell>
          <cell r="B255" t="str">
            <v>Moyen</v>
          </cell>
          <cell r="D255" t="str">
            <v>*</v>
          </cell>
          <cell r="F255">
            <v>1</v>
          </cell>
          <cell r="G255">
            <v>0</v>
          </cell>
          <cell r="H255">
            <v>0</v>
          </cell>
        </row>
        <row r="256">
          <cell r="A256">
            <v>1996</v>
          </cell>
          <cell r="B256" t="str">
            <v>Moyen</v>
          </cell>
          <cell r="D256" t="str">
            <v>*</v>
          </cell>
          <cell r="F256">
            <v>1</v>
          </cell>
          <cell r="G256">
            <v>0</v>
          </cell>
          <cell r="H256">
            <v>0</v>
          </cell>
        </row>
        <row r="257">
          <cell r="A257">
            <v>1997</v>
          </cell>
          <cell r="B257" t="str">
            <v>Moyen</v>
          </cell>
          <cell r="D257" t="str">
            <v>*</v>
          </cell>
          <cell r="F257">
            <v>1</v>
          </cell>
          <cell r="G257">
            <v>0</v>
          </cell>
          <cell r="H257">
            <v>0</v>
          </cell>
        </row>
        <row r="258">
          <cell r="A258">
            <v>1998</v>
          </cell>
          <cell r="B258" t="str">
            <v>Moyen</v>
          </cell>
          <cell r="D258" t="str">
            <v>*</v>
          </cell>
          <cell r="F258">
            <v>1</v>
          </cell>
          <cell r="G258">
            <v>0</v>
          </cell>
          <cell r="H258">
            <v>0</v>
          </cell>
        </row>
        <row r="259">
          <cell r="A259">
            <v>1999</v>
          </cell>
          <cell r="B259" t="str">
            <v>Moyen</v>
          </cell>
          <cell r="D259" t="str">
            <v>*</v>
          </cell>
          <cell r="F259">
            <v>1</v>
          </cell>
          <cell r="G259">
            <v>0</v>
          </cell>
          <cell r="H259">
            <v>154904</v>
          </cell>
        </row>
        <row r="260">
          <cell r="A260">
            <v>2000</v>
          </cell>
          <cell r="B260" t="str">
            <v>Moyen</v>
          </cell>
          <cell r="D260" t="str">
            <v>*</v>
          </cell>
          <cell r="F260">
            <v>1</v>
          </cell>
          <cell r="G260">
            <v>0</v>
          </cell>
          <cell r="H260">
            <v>107555</v>
          </cell>
        </row>
        <row r="261">
          <cell r="A261">
            <v>2001</v>
          </cell>
          <cell r="B261" t="str">
            <v>Moyen</v>
          </cell>
          <cell r="D261" t="str">
            <v>*</v>
          </cell>
          <cell r="F261">
            <v>1</v>
          </cell>
          <cell r="G261">
            <v>0</v>
          </cell>
          <cell r="H261">
            <v>2560</v>
          </cell>
        </row>
        <row r="262">
          <cell r="A262">
            <v>2002</v>
          </cell>
          <cell r="B262" t="str">
            <v>Moyen</v>
          </cell>
          <cell r="D262" t="str">
            <v>*</v>
          </cell>
          <cell r="F262">
            <v>1</v>
          </cell>
          <cell r="G262">
            <v>0</v>
          </cell>
          <cell r="H262">
            <v>190392</v>
          </cell>
        </row>
        <row r="263">
          <cell r="A263">
            <v>2003</v>
          </cell>
          <cell r="B263" t="str">
            <v>Moyen</v>
          </cell>
          <cell r="D263" t="str">
            <v>*</v>
          </cell>
          <cell r="F263">
            <v>1</v>
          </cell>
          <cell r="G263">
            <v>0</v>
          </cell>
          <cell r="H263">
            <v>0</v>
          </cell>
        </row>
        <row r="264">
          <cell r="A264">
            <v>2004</v>
          </cell>
          <cell r="B264" t="str">
            <v>Moyen</v>
          </cell>
          <cell r="D264" t="str">
            <v>*</v>
          </cell>
          <cell r="F264">
            <v>1</v>
          </cell>
          <cell r="G264">
            <v>0</v>
          </cell>
          <cell r="H264">
            <v>0</v>
          </cell>
        </row>
        <row r="265">
          <cell r="A265">
            <v>2005</v>
          </cell>
          <cell r="B265" t="str">
            <v>Moyen</v>
          </cell>
          <cell r="D265" t="str">
            <v>*</v>
          </cell>
          <cell r="F265">
            <v>1</v>
          </cell>
          <cell r="G265">
            <v>0</v>
          </cell>
          <cell r="H265">
            <v>0</v>
          </cell>
        </row>
        <row r="266">
          <cell r="A266">
            <v>2006</v>
          </cell>
          <cell r="B266" t="str">
            <v>Moyen</v>
          </cell>
          <cell r="D266" t="str">
            <v>*</v>
          </cell>
          <cell r="F266">
            <v>1</v>
          </cell>
          <cell r="G266">
            <v>0</v>
          </cell>
          <cell r="H266">
            <v>1484019</v>
          </cell>
        </row>
        <row r="267">
          <cell r="A267">
            <v>2007</v>
          </cell>
          <cell r="B267" t="str">
            <v>Moyen</v>
          </cell>
          <cell r="D267" t="str">
            <v>*</v>
          </cell>
          <cell r="F267">
            <v>1</v>
          </cell>
          <cell r="G267">
            <v>0</v>
          </cell>
          <cell r="H267">
            <v>900138</v>
          </cell>
        </row>
        <row r="268">
          <cell r="A268">
            <v>2008</v>
          </cell>
          <cell r="B268" t="str">
            <v>Moyen</v>
          </cell>
          <cell r="D268" t="str">
            <v>*</v>
          </cell>
          <cell r="F268">
            <v>1</v>
          </cell>
          <cell r="G268">
            <v>0</v>
          </cell>
          <cell r="H268">
            <v>223143</v>
          </cell>
        </row>
        <row r="269">
          <cell r="A269">
            <v>2009</v>
          </cell>
          <cell r="B269" t="str">
            <v>Moyen</v>
          </cell>
          <cell r="D269" t="str">
            <v>*</v>
          </cell>
          <cell r="F269">
            <v>1</v>
          </cell>
          <cell r="G269">
            <v>0</v>
          </cell>
          <cell r="H269">
            <v>190201</v>
          </cell>
        </row>
        <row r="270">
          <cell r="A270">
            <v>2010</v>
          </cell>
          <cell r="B270" t="str">
            <v>Moyen</v>
          </cell>
          <cell r="D270" t="str">
            <v>*</v>
          </cell>
          <cell r="F270">
            <v>1</v>
          </cell>
          <cell r="G270">
            <v>0</v>
          </cell>
          <cell r="H270">
            <v>94537</v>
          </cell>
        </row>
        <row r="271">
          <cell r="A271">
            <v>2011</v>
          </cell>
          <cell r="B271" t="str">
            <v>Moyen</v>
          </cell>
          <cell r="D271" t="str">
            <v>*</v>
          </cell>
          <cell r="F271">
            <v>1</v>
          </cell>
          <cell r="G271">
            <v>0</v>
          </cell>
          <cell r="H271">
            <v>1500</v>
          </cell>
        </row>
        <row r="272">
          <cell r="A272">
            <v>2012</v>
          </cell>
          <cell r="B272" t="str">
            <v>Moyen</v>
          </cell>
          <cell r="D272" t="str">
            <v>*</v>
          </cell>
          <cell r="F272">
            <v>1</v>
          </cell>
          <cell r="G272">
            <v>0</v>
          </cell>
          <cell r="H272">
            <v>0</v>
          </cell>
        </row>
        <row r="273">
          <cell r="A273">
            <v>2013</v>
          </cell>
          <cell r="B273" t="str">
            <v>Moyen</v>
          </cell>
          <cell r="D273" t="str">
            <v>*</v>
          </cell>
          <cell r="F273">
            <v>1</v>
          </cell>
          <cell r="G273">
            <v>0</v>
          </cell>
          <cell r="H273">
            <v>0</v>
          </cell>
        </row>
        <row r="274">
          <cell r="A274">
            <v>2014</v>
          </cell>
          <cell r="B274" t="str">
            <v>Moyen</v>
          </cell>
          <cell r="D274" t="str">
            <v>*</v>
          </cell>
          <cell r="F274">
            <v>1</v>
          </cell>
          <cell r="G274">
            <v>0</v>
          </cell>
          <cell r="H274">
            <v>0</v>
          </cell>
        </row>
        <row r="275">
          <cell r="A275">
            <v>2015</v>
          </cell>
          <cell r="B275" t="str">
            <v>Moyen</v>
          </cell>
          <cell r="D275" t="str">
            <v>*</v>
          </cell>
          <cell r="F275">
            <v>1</v>
          </cell>
          <cell r="G275">
            <v>0</v>
          </cell>
          <cell r="H275">
            <v>0</v>
          </cell>
        </row>
        <row r="276">
          <cell r="A276">
            <v>2016</v>
          </cell>
          <cell r="B276" t="str">
            <v>Moyen</v>
          </cell>
          <cell r="D276" t="str">
            <v>*</v>
          </cell>
          <cell r="F276">
            <v>1</v>
          </cell>
          <cell r="G276">
            <v>0</v>
          </cell>
          <cell r="H276">
            <v>0</v>
          </cell>
        </row>
        <row r="277">
          <cell r="A277">
            <v>2017</v>
          </cell>
          <cell r="B277" t="str">
            <v>Moyen</v>
          </cell>
          <cell r="D277" t="str">
            <v>*</v>
          </cell>
          <cell r="F277">
            <v>1</v>
          </cell>
          <cell r="G277">
            <v>0</v>
          </cell>
          <cell r="H277">
            <v>0</v>
          </cell>
        </row>
        <row r="278">
          <cell r="A278">
            <v>2018</v>
          </cell>
          <cell r="B278" t="str">
            <v>Moyen</v>
          </cell>
          <cell r="D278" t="str">
            <v>*</v>
          </cell>
          <cell r="F278">
            <v>1</v>
          </cell>
          <cell r="G278">
            <v>0</v>
          </cell>
          <cell r="H278">
            <v>13390.419694488401</v>
          </cell>
        </row>
        <row r="279">
          <cell r="A279">
            <v>2019</v>
          </cell>
          <cell r="B279" t="str">
            <v>Moyen</v>
          </cell>
          <cell r="D279" t="str">
            <v>*</v>
          </cell>
          <cell r="F279">
            <v>1</v>
          </cell>
          <cell r="G279">
            <v>0</v>
          </cell>
          <cell r="H279">
            <v>0</v>
          </cell>
        </row>
        <row r="280">
          <cell r="A280">
            <v>2020</v>
          </cell>
          <cell r="B280" t="str">
            <v>Moyen</v>
          </cell>
          <cell r="D280" t="str">
            <v>*</v>
          </cell>
          <cell r="F280">
            <v>1</v>
          </cell>
          <cell r="G280">
            <v>0</v>
          </cell>
          <cell r="H280">
            <v>0</v>
          </cell>
        </row>
        <row r="281">
          <cell r="A281">
            <v>2021</v>
          </cell>
          <cell r="B281" t="str">
            <v>Moyen</v>
          </cell>
          <cell r="D281" t="str">
            <v>*</v>
          </cell>
          <cell r="F281">
            <v>1</v>
          </cell>
          <cell r="G281">
            <v>0</v>
          </cell>
          <cell r="H281">
            <v>0</v>
          </cell>
        </row>
        <row r="282">
          <cell r="A282">
            <v>2022</v>
          </cell>
          <cell r="B282" t="str">
            <v>Moyen</v>
          </cell>
          <cell r="D282" t="str">
            <v>*</v>
          </cell>
          <cell r="F282">
            <v>1</v>
          </cell>
          <cell r="G282">
            <v>0</v>
          </cell>
          <cell r="H282">
            <v>0</v>
          </cell>
        </row>
        <row r="283">
          <cell r="A283">
            <v>2023</v>
          </cell>
          <cell r="B283" t="str">
            <v>Moyen</v>
          </cell>
          <cell r="D283" t="str">
            <v>*</v>
          </cell>
          <cell r="F283">
            <v>1</v>
          </cell>
          <cell r="G283">
            <v>0</v>
          </cell>
          <cell r="H283">
            <v>4301</v>
          </cell>
        </row>
        <row r="284">
          <cell r="A284">
            <v>2024</v>
          </cell>
          <cell r="B284" t="str">
            <v>Moyen</v>
          </cell>
          <cell r="D284" t="str">
            <v>*</v>
          </cell>
          <cell r="F284">
            <v>1</v>
          </cell>
          <cell r="G284">
            <v>0</v>
          </cell>
          <cell r="H284">
            <v>7908</v>
          </cell>
        </row>
        <row r="285">
          <cell r="A285">
            <v>2025</v>
          </cell>
          <cell r="B285" t="str">
            <v>Moyen</v>
          </cell>
          <cell r="D285" t="str">
            <v>*</v>
          </cell>
          <cell r="F285">
            <v>1</v>
          </cell>
          <cell r="G285">
            <v>0</v>
          </cell>
          <cell r="H285">
            <v>12107.5</v>
          </cell>
        </row>
        <row r="286">
          <cell r="A286">
            <v>2026</v>
          </cell>
          <cell r="B286" t="str">
            <v>Moyen</v>
          </cell>
          <cell r="D286" t="str">
            <v>*</v>
          </cell>
          <cell r="F286">
            <v>1</v>
          </cell>
          <cell r="G286">
            <v>0</v>
          </cell>
          <cell r="H286">
            <v>300348.82659807801</v>
          </cell>
        </row>
        <row r="287">
          <cell r="A287">
            <v>2027</v>
          </cell>
          <cell r="B287" t="str">
            <v>Moyen</v>
          </cell>
          <cell r="D287" t="str">
            <v>*</v>
          </cell>
          <cell r="F287">
            <v>1</v>
          </cell>
          <cell r="G287">
            <v>0</v>
          </cell>
          <cell r="H287">
            <v>0</v>
          </cell>
        </row>
        <row r="288">
          <cell r="A288">
            <v>2028</v>
          </cell>
          <cell r="B288" t="str">
            <v>Moyen</v>
          </cell>
          <cell r="D288" t="str">
            <v>*</v>
          </cell>
          <cell r="F288">
            <v>1</v>
          </cell>
          <cell r="G288">
            <v>0</v>
          </cell>
          <cell r="H288">
            <v>0</v>
          </cell>
        </row>
        <row r="289">
          <cell r="A289">
            <v>2029</v>
          </cell>
          <cell r="B289" t="str">
            <v>Moyen</v>
          </cell>
          <cell r="D289" t="str">
            <v>*</v>
          </cell>
          <cell r="F289">
            <v>1</v>
          </cell>
          <cell r="G289">
            <v>0</v>
          </cell>
          <cell r="H289">
            <v>0</v>
          </cell>
        </row>
        <row r="290">
          <cell r="A290">
            <v>2030</v>
          </cell>
          <cell r="B290" t="str">
            <v>Moyen</v>
          </cell>
          <cell r="D290" t="str">
            <v>*</v>
          </cell>
          <cell r="F290">
            <v>1</v>
          </cell>
          <cell r="G290">
            <v>0</v>
          </cell>
          <cell r="H290">
            <v>0</v>
          </cell>
        </row>
        <row r="291">
          <cell r="A291">
            <v>2031</v>
          </cell>
          <cell r="B291" t="str">
            <v>Moyen</v>
          </cell>
          <cell r="D291" t="str">
            <v>*</v>
          </cell>
          <cell r="F291">
            <v>1</v>
          </cell>
          <cell r="G291">
            <v>0</v>
          </cell>
          <cell r="H291">
            <v>1102</v>
          </cell>
        </row>
        <row r="292">
          <cell r="A292">
            <v>2032</v>
          </cell>
          <cell r="B292" t="str">
            <v>Moyen</v>
          </cell>
          <cell r="D292" t="str">
            <v>*</v>
          </cell>
          <cell r="F292">
            <v>1</v>
          </cell>
          <cell r="G292">
            <v>0</v>
          </cell>
          <cell r="H292">
            <v>0</v>
          </cell>
        </row>
        <row r="293">
          <cell r="A293">
            <v>2033</v>
          </cell>
          <cell r="B293" t="str">
            <v>Moyen</v>
          </cell>
          <cell r="D293" t="str">
            <v>*</v>
          </cell>
          <cell r="F293">
            <v>1</v>
          </cell>
          <cell r="G293">
            <v>0</v>
          </cell>
          <cell r="H293">
            <v>4704</v>
          </cell>
        </row>
        <row r="294">
          <cell r="A294">
            <v>2034</v>
          </cell>
          <cell r="B294" t="str">
            <v>Moyen</v>
          </cell>
          <cell r="D294" t="str">
            <v>*</v>
          </cell>
          <cell r="F294">
            <v>1</v>
          </cell>
          <cell r="G294">
            <v>0</v>
          </cell>
          <cell r="H294">
            <v>0</v>
          </cell>
        </row>
        <row r="295">
          <cell r="A295">
            <v>2035</v>
          </cell>
          <cell r="B295" t="str">
            <v>Moyen</v>
          </cell>
          <cell r="D295" t="str">
            <v>*</v>
          </cell>
          <cell r="F295">
            <v>1</v>
          </cell>
          <cell r="G295">
            <v>0</v>
          </cell>
          <cell r="H295">
            <v>500</v>
          </cell>
        </row>
        <row r="296">
          <cell r="A296">
            <v>2036</v>
          </cell>
          <cell r="B296" t="str">
            <v>Moyen</v>
          </cell>
          <cell r="D296" t="str">
            <v>*</v>
          </cell>
          <cell r="F296">
            <v>1</v>
          </cell>
          <cell r="G296">
            <v>0</v>
          </cell>
          <cell r="H296">
            <v>0</v>
          </cell>
        </row>
        <row r="297">
          <cell r="A297">
            <v>2037</v>
          </cell>
          <cell r="B297" t="str">
            <v>Moyen</v>
          </cell>
          <cell r="D297" t="str">
            <v>*</v>
          </cell>
          <cell r="F297">
            <v>1</v>
          </cell>
          <cell r="G297">
            <v>0</v>
          </cell>
          <cell r="H297">
            <v>0</v>
          </cell>
        </row>
        <row r="298">
          <cell r="A298">
            <v>2038</v>
          </cell>
          <cell r="B298" t="str">
            <v>Moyen</v>
          </cell>
          <cell r="D298" t="str">
            <v>*</v>
          </cell>
          <cell r="F298">
            <v>1</v>
          </cell>
          <cell r="G298">
            <v>0</v>
          </cell>
          <cell r="H298">
            <v>0</v>
          </cell>
        </row>
        <row r="299">
          <cell r="A299">
            <v>2039</v>
          </cell>
          <cell r="B299" t="str">
            <v>Moyen</v>
          </cell>
          <cell r="D299" t="str">
            <v>*</v>
          </cell>
          <cell r="F299">
            <v>1</v>
          </cell>
          <cell r="G299">
            <v>0</v>
          </cell>
          <cell r="H299">
            <v>0</v>
          </cell>
        </row>
        <row r="300">
          <cell r="A300">
            <v>2040</v>
          </cell>
          <cell r="B300" t="str">
            <v>Moyen</v>
          </cell>
          <cell r="D300" t="str">
            <v>*</v>
          </cell>
          <cell r="F300">
            <v>1</v>
          </cell>
          <cell r="G300">
            <v>0</v>
          </cell>
          <cell r="H300">
            <v>4305</v>
          </cell>
        </row>
        <row r="301">
          <cell r="A301">
            <v>2041</v>
          </cell>
          <cell r="B301" t="str">
            <v>Moyen</v>
          </cell>
          <cell r="D301" t="str">
            <v>*</v>
          </cell>
          <cell r="F301">
            <v>1</v>
          </cell>
          <cell r="G301">
            <v>0</v>
          </cell>
          <cell r="H301">
            <v>0</v>
          </cell>
        </row>
        <row r="302">
          <cell r="A302">
            <v>2042</v>
          </cell>
          <cell r="B302" t="str">
            <v>Moyen</v>
          </cell>
          <cell r="D302" t="str">
            <v>*</v>
          </cell>
          <cell r="F302">
            <v>1</v>
          </cell>
          <cell r="G302">
            <v>0</v>
          </cell>
          <cell r="H302">
            <v>1046</v>
          </cell>
        </row>
        <row r="303">
          <cell r="A303">
            <v>2043</v>
          </cell>
          <cell r="B303" t="str">
            <v>Moyen</v>
          </cell>
          <cell r="D303" t="str">
            <v>*</v>
          </cell>
          <cell r="F303">
            <v>1</v>
          </cell>
          <cell r="G303">
            <v>0</v>
          </cell>
          <cell r="H303">
            <v>0</v>
          </cell>
        </row>
        <row r="304">
          <cell r="A304">
            <v>2044</v>
          </cell>
          <cell r="B304" t="str">
            <v>Moyen</v>
          </cell>
          <cell r="D304" t="str">
            <v>*</v>
          </cell>
          <cell r="F304">
            <v>1</v>
          </cell>
          <cell r="G304">
            <v>0</v>
          </cell>
          <cell r="H304">
            <v>1387</v>
          </cell>
        </row>
        <row r="305">
          <cell r="A305">
            <v>2045</v>
          </cell>
          <cell r="B305" t="str">
            <v>Moyen</v>
          </cell>
          <cell r="D305" t="str">
            <v>*</v>
          </cell>
          <cell r="F305">
            <v>1</v>
          </cell>
          <cell r="G305">
            <v>0</v>
          </cell>
          <cell r="H305">
            <v>163258</v>
          </cell>
        </row>
        <row r="306">
          <cell r="A306">
            <v>2046</v>
          </cell>
          <cell r="B306" t="str">
            <v>Moyen</v>
          </cell>
          <cell r="D306" t="str">
            <v>*</v>
          </cell>
          <cell r="F306">
            <v>1</v>
          </cell>
          <cell r="G306">
            <v>0</v>
          </cell>
          <cell r="H306">
            <v>0</v>
          </cell>
        </row>
        <row r="307">
          <cell r="A307">
            <v>2047</v>
          </cell>
          <cell r="B307" t="str">
            <v>Moyen</v>
          </cell>
          <cell r="D307" t="str">
            <v>*</v>
          </cell>
          <cell r="F307">
            <v>1</v>
          </cell>
          <cell r="G307">
            <v>0</v>
          </cell>
          <cell r="H307">
            <v>0</v>
          </cell>
        </row>
        <row r="308">
          <cell r="A308">
            <v>2048</v>
          </cell>
          <cell r="B308" t="str">
            <v>Moyen</v>
          </cell>
          <cell r="D308" t="str">
            <v>*</v>
          </cell>
          <cell r="F308">
            <v>1</v>
          </cell>
          <cell r="G308">
            <v>0</v>
          </cell>
          <cell r="H308">
            <v>57462</v>
          </cell>
        </row>
        <row r="309">
          <cell r="A309">
            <v>2049</v>
          </cell>
          <cell r="B309" t="str">
            <v>Moyen</v>
          </cell>
          <cell r="D309" t="str">
            <v>*</v>
          </cell>
          <cell r="F309">
            <v>1</v>
          </cell>
          <cell r="G309">
            <v>0</v>
          </cell>
          <cell r="H309">
            <v>0</v>
          </cell>
        </row>
        <row r="310">
          <cell r="A310">
            <v>2050</v>
          </cell>
          <cell r="B310" t="str">
            <v>Moyen</v>
          </cell>
          <cell r="D310" t="str">
            <v>*</v>
          </cell>
          <cell r="F310">
            <v>1</v>
          </cell>
          <cell r="G310">
            <v>0</v>
          </cell>
          <cell r="H310">
            <v>0</v>
          </cell>
        </row>
        <row r="311">
          <cell r="A311">
            <v>2051</v>
          </cell>
          <cell r="B311" t="str">
            <v>Moyen</v>
          </cell>
          <cell r="D311" t="str">
            <v>*</v>
          </cell>
          <cell r="F311">
            <v>1</v>
          </cell>
          <cell r="G311">
            <v>0</v>
          </cell>
          <cell r="H311">
            <v>0</v>
          </cell>
        </row>
        <row r="312">
          <cell r="A312">
            <v>2052</v>
          </cell>
          <cell r="B312" t="str">
            <v>Moyen</v>
          </cell>
          <cell r="D312" t="str">
            <v>*</v>
          </cell>
          <cell r="F312">
            <v>1</v>
          </cell>
          <cell r="G312">
            <v>0</v>
          </cell>
          <cell r="H312">
            <v>150083</v>
          </cell>
        </row>
        <row r="313">
          <cell r="A313">
            <v>2053</v>
          </cell>
          <cell r="B313" t="str">
            <v>Moyen</v>
          </cell>
          <cell r="D313" t="str">
            <v>*</v>
          </cell>
          <cell r="F313">
            <v>1</v>
          </cell>
          <cell r="G313">
            <v>0</v>
          </cell>
          <cell r="H313">
            <v>276</v>
          </cell>
        </row>
        <row r="314">
          <cell r="A314">
            <v>2054</v>
          </cell>
          <cell r="B314" t="str">
            <v>Moyen</v>
          </cell>
          <cell r="D314" t="str">
            <v>*</v>
          </cell>
          <cell r="F314">
            <v>1</v>
          </cell>
          <cell r="G314">
            <v>0</v>
          </cell>
          <cell r="H314">
            <v>0</v>
          </cell>
        </row>
        <row r="315">
          <cell r="A315">
            <v>2055</v>
          </cell>
          <cell r="B315" t="str">
            <v>Moyen</v>
          </cell>
          <cell r="D315" t="str">
            <v>*</v>
          </cell>
          <cell r="F315">
            <v>1</v>
          </cell>
          <cell r="G315">
            <v>0</v>
          </cell>
          <cell r="H315">
            <v>671</v>
          </cell>
        </row>
        <row r="316">
          <cell r="A316">
            <v>2056</v>
          </cell>
          <cell r="B316" t="str">
            <v>Moyen</v>
          </cell>
          <cell r="D316" t="str">
            <v>*</v>
          </cell>
          <cell r="F316">
            <v>1</v>
          </cell>
          <cell r="G316">
            <v>0</v>
          </cell>
          <cell r="H316">
            <v>57462</v>
          </cell>
        </row>
        <row r="317">
          <cell r="A317">
            <v>2057</v>
          </cell>
          <cell r="B317" t="str">
            <v>Moyen</v>
          </cell>
          <cell r="D317" t="str">
            <v>*</v>
          </cell>
          <cell r="F317">
            <v>1</v>
          </cell>
          <cell r="G317">
            <v>0</v>
          </cell>
          <cell r="H317">
            <v>109413.62760000001</v>
          </cell>
        </row>
        <row r="318">
          <cell r="A318">
            <v>2058</v>
          </cell>
          <cell r="B318" t="str">
            <v>Moyen</v>
          </cell>
          <cell r="D318" t="str">
            <v>*</v>
          </cell>
          <cell r="F318">
            <v>1</v>
          </cell>
          <cell r="G318">
            <v>0</v>
          </cell>
          <cell r="H318">
            <v>0</v>
          </cell>
        </row>
        <row r="319">
          <cell r="A319">
            <v>2059</v>
          </cell>
          <cell r="B319" t="str">
            <v>Moyen</v>
          </cell>
          <cell r="D319" t="str">
            <v>*</v>
          </cell>
          <cell r="F319">
            <v>1</v>
          </cell>
          <cell r="G319">
            <v>0</v>
          </cell>
          <cell r="H319">
            <v>0</v>
          </cell>
        </row>
        <row r="320">
          <cell r="A320">
            <v>2060</v>
          </cell>
          <cell r="B320" t="str">
            <v>Moyen</v>
          </cell>
          <cell r="D320" t="str">
            <v>*</v>
          </cell>
          <cell r="F320">
            <v>1</v>
          </cell>
          <cell r="G320">
            <v>0</v>
          </cell>
          <cell r="H320">
            <v>0</v>
          </cell>
        </row>
        <row r="321">
          <cell r="A321">
            <v>2061</v>
          </cell>
          <cell r="B321" t="str">
            <v>Moyen</v>
          </cell>
          <cell r="D321" t="str">
            <v>*</v>
          </cell>
          <cell r="F321">
            <v>1</v>
          </cell>
          <cell r="G321">
            <v>0</v>
          </cell>
          <cell r="H321">
            <v>34839</v>
          </cell>
        </row>
        <row r="322">
          <cell r="A322">
            <v>2062</v>
          </cell>
          <cell r="B322" t="str">
            <v>Moyen</v>
          </cell>
          <cell r="D322" t="str">
            <v>*</v>
          </cell>
          <cell r="F322">
            <v>1</v>
          </cell>
          <cell r="G322">
            <v>0</v>
          </cell>
          <cell r="H322">
            <v>43887</v>
          </cell>
        </row>
        <row r="323">
          <cell r="A323">
            <v>2063</v>
          </cell>
          <cell r="B323" t="str">
            <v>Moyen</v>
          </cell>
          <cell r="D323" t="str">
            <v>*</v>
          </cell>
          <cell r="F323">
            <v>1</v>
          </cell>
          <cell r="G323">
            <v>0</v>
          </cell>
          <cell r="H323">
            <v>0</v>
          </cell>
        </row>
        <row r="324">
          <cell r="A324">
            <v>2064</v>
          </cell>
          <cell r="B324" t="str">
            <v>Moyen</v>
          </cell>
          <cell r="D324" t="str">
            <v>*</v>
          </cell>
          <cell r="F324">
            <v>1</v>
          </cell>
          <cell r="G324">
            <v>0</v>
          </cell>
          <cell r="H324">
            <v>0</v>
          </cell>
        </row>
        <row r="325">
          <cell r="A325">
            <v>2065</v>
          </cell>
          <cell r="B325" t="str">
            <v>Moyen</v>
          </cell>
          <cell r="D325" t="str">
            <v>*</v>
          </cell>
          <cell r="F325">
            <v>1</v>
          </cell>
          <cell r="G325">
            <v>0</v>
          </cell>
          <cell r="H325">
            <v>0</v>
          </cell>
        </row>
        <row r="326">
          <cell r="A326">
            <v>2066</v>
          </cell>
          <cell r="B326" t="str">
            <v>Moyen</v>
          </cell>
          <cell r="D326" t="str">
            <v>*</v>
          </cell>
          <cell r="F326">
            <v>1</v>
          </cell>
          <cell r="G326">
            <v>0</v>
          </cell>
          <cell r="H326">
            <v>0</v>
          </cell>
        </row>
        <row r="327">
          <cell r="A327">
            <v>2067</v>
          </cell>
          <cell r="B327" t="str">
            <v>Moyen</v>
          </cell>
          <cell r="D327" t="str">
            <v>*</v>
          </cell>
          <cell r="F327">
            <v>1</v>
          </cell>
          <cell r="G327">
            <v>0</v>
          </cell>
          <cell r="H327">
            <v>0</v>
          </cell>
        </row>
        <row r="328">
          <cell r="A328">
            <v>2068</v>
          </cell>
          <cell r="B328" t="str">
            <v>Moyen</v>
          </cell>
          <cell r="D328" t="str">
            <v>*</v>
          </cell>
          <cell r="F328">
            <v>1</v>
          </cell>
          <cell r="G328">
            <v>0</v>
          </cell>
          <cell r="H328">
            <v>0</v>
          </cell>
        </row>
        <row r="329">
          <cell r="A329">
            <v>2069</v>
          </cell>
          <cell r="B329" t="str">
            <v>Moyen</v>
          </cell>
          <cell r="D329" t="str">
            <v>*</v>
          </cell>
          <cell r="F329">
            <v>1</v>
          </cell>
          <cell r="G329">
            <v>0</v>
          </cell>
          <cell r="H329">
            <v>0</v>
          </cell>
        </row>
        <row r="330">
          <cell r="A330">
            <v>2070</v>
          </cell>
          <cell r="B330" t="str">
            <v>Moyen</v>
          </cell>
          <cell r="D330" t="str">
            <v>*</v>
          </cell>
          <cell r="F330">
            <v>1</v>
          </cell>
          <cell r="G330">
            <v>0</v>
          </cell>
          <cell r="H330">
            <v>0</v>
          </cell>
        </row>
        <row r="331">
          <cell r="A331">
            <v>2071</v>
          </cell>
          <cell r="B331" t="str">
            <v>Moyen</v>
          </cell>
          <cell r="D331" t="str">
            <v>*</v>
          </cell>
          <cell r="F331">
            <v>1</v>
          </cell>
          <cell r="G331">
            <v>0</v>
          </cell>
          <cell r="H331">
            <v>0</v>
          </cell>
        </row>
        <row r="332">
          <cell r="A332">
            <v>2072</v>
          </cell>
          <cell r="B332" t="str">
            <v>Moyen</v>
          </cell>
          <cell r="D332" t="str">
            <v>*</v>
          </cell>
          <cell r="F332">
            <v>1</v>
          </cell>
          <cell r="G332">
            <v>0</v>
          </cell>
          <cell r="H332">
            <v>0</v>
          </cell>
        </row>
        <row r="333">
          <cell r="A333">
            <v>2073</v>
          </cell>
          <cell r="B333" t="str">
            <v>Moyen</v>
          </cell>
          <cell r="D333" t="str">
            <v>*</v>
          </cell>
          <cell r="F333">
            <v>1</v>
          </cell>
          <cell r="G333">
            <v>0</v>
          </cell>
          <cell r="H333">
            <v>1</v>
          </cell>
        </row>
        <row r="334">
          <cell r="A334">
            <v>2074</v>
          </cell>
          <cell r="B334" t="str">
            <v>Moyen</v>
          </cell>
          <cell r="D334" t="str">
            <v>*</v>
          </cell>
          <cell r="F334">
            <v>1</v>
          </cell>
          <cell r="G334">
            <v>0</v>
          </cell>
          <cell r="H334">
            <v>0</v>
          </cell>
        </row>
        <row r="335">
          <cell r="A335">
            <v>2075</v>
          </cell>
          <cell r="B335" t="str">
            <v>Moyen</v>
          </cell>
          <cell r="D335" t="str">
            <v>*</v>
          </cell>
          <cell r="F335">
            <v>1</v>
          </cell>
          <cell r="G335">
            <v>0</v>
          </cell>
          <cell r="H335">
            <v>0</v>
          </cell>
        </row>
        <row r="336">
          <cell r="A336">
            <v>2076</v>
          </cell>
          <cell r="B336" t="str">
            <v>Moyen</v>
          </cell>
          <cell r="D336" t="str">
            <v>*</v>
          </cell>
          <cell r="F336">
            <v>1</v>
          </cell>
          <cell r="G336">
            <v>0</v>
          </cell>
          <cell r="H336">
            <v>0</v>
          </cell>
        </row>
        <row r="337">
          <cell r="A337">
            <v>2077</v>
          </cell>
          <cell r="B337" t="str">
            <v>Moyen</v>
          </cell>
          <cell r="D337" t="str">
            <v>*</v>
          </cell>
          <cell r="F337">
            <v>1</v>
          </cell>
          <cell r="G337">
            <v>0</v>
          </cell>
          <cell r="H337">
            <v>0</v>
          </cell>
        </row>
        <row r="338">
          <cell r="A338">
            <v>2078</v>
          </cell>
          <cell r="B338" t="str">
            <v>Moyen</v>
          </cell>
          <cell r="D338" t="str">
            <v>*</v>
          </cell>
          <cell r="F338">
            <v>1</v>
          </cell>
          <cell r="G338">
            <v>0</v>
          </cell>
          <cell r="H338">
            <v>1</v>
          </cell>
        </row>
        <row r="339">
          <cell r="A339">
            <v>2079</v>
          </cell>
          <cell r="B339" t="str">
            <v>Moyen</v>
          </cell>
          <cell r="D339" t="str">
            <v>*</v>
          </cell>
          <cell r="F339">
            <v>1</v>
          </cell>
          <cell r="G339">
            <v>0</v>
          </cell>
          <cell r="H339">
            <v>1</v>
          </cell>
        </row>
        <row r="340">
          <cell r="A340">
            <v>2080</v>
          </cell>
          <cell r="B340" t="str">
            <v>Moyen</v>
          </cell>
          <cell r="D340" t="str">
            <v>*</v>
          </cell>
          <cell r="F340">
            <v>1</v>
          </cell>
          <cell r="G340">
            <v>0</v>
          </cell>
          <cell r="H340">
            <v>69525</v>
          </cell>
        </row>
        <row r="341">
          <cell r="A341">
            <v>2081</v>
          </cell>
          <cell r="B341" t="str">
            <v>Moyen</v>
          </cell>
          <cell r="D341" t="str">
            <v>*</v>
          </cell>
          <cell r="F341">
            <v>1</v>
          </cell>
          <cell r="G341">
            <v>0</v>
          </cell>
          <cell r="H341">
            <v>0</v>
          </cell>
        </row>
        <row r="342">
          <cell r="A342">
            <v>2082</v>
          </cell>
          <cell r="B342" t="str">
            <v>Moyen</v>
          </cell>
          <cell r="D342" t="str">
            <v>*</v>
          </cell>
          <cell r="F342">
            <v>1</v>
          </cell>
          <cell r="G342">
            <v>0</v>
          </cell>
          <cell r="H342">
            <v>408147</v>
          </cell>
        </row>
        <row r="343">
          <cell r="A343">
            <v>2083</v>
          </cell>
          <cell r="B343" t="str">
            <v>Moyen</v>
          </cell>
          <cell r="D343" t="str">
            <v>*</v>
          </cell>
          <cell r="F343">
            <v>1</v>
          </cell>
          <cell r="G343">
            <v>0</v>
          </cell>
          <cell r="H343">
            <v>0</v>
          </cell>
        </row>
        <row r="344">
          <cell r="A344">
            <v>2084</v>
          </cell>
          <cell r="B344" t="str">
            <v>Moyen</v>
          </cell>
          <cell r="D344" t="str">
            <v>*</v>
          </cell>
          <cell r="F344">
            <v>1</v>
          </cell>
          <cell r="G344">
            <v>0</v>
          </cell>
          <cell r="H344">
            <v>1</v>
          </cell>
        </row>
        <row r="345">
          <cell r="A345">
            <v>2085</v>
          </cell>
          <cell r="B345" t="str">
            <v>Moyen</v>
          </cell>
          <cell r="D345" t="str">
            <v>*</v>
          </cell>
          <cell r="F345">
            <v>1</v>
          </cell>
          <cell r="G345">
            <v>0</v>
          </cell>
          <cell r="H345">
            <v>0</v>
          </cell>
        </row>
        <row r="346">
          <cell r="A346">
            <v>2086</v>
          </cell>
          <cell r="B346" t="str">
            <v>Moyen</v>
          </cell>
          <cell r="D346" t="str">
            <v>*</v>
          </cell>
          <cell r="F346">
            <v>1</v>
          </cell>
          <cell r="G346">
            <v>0</v>
          </cell>
          <cell r="H346">
            <v>0</v>
          </cell>
        </row>
        <row r="347">
          <cell r="A347">
            <v>2087</v>
          </cell>
          <cell r="B347" t="str">
            <v>Moyen</v>
          </cell>
          <cell r="D347" t="str">
            <v>*</v>
          </cell>
          <cell r="F347">
            <v>1</v>
          </cell>
          <cell r="G347">
            <v>0</v>
          </cell>
          <cell r="H347">
            <v>107857.72436054199</v>
          </cell>
        </row>
        <row r="348">
          <cell r="A348">
            <v>2088</v>
          </cell>
          <cell r="B348" t="str">
            <v>Moyen</v>
          </cell>
          <cell r="D348" t="str">
            <v>*</v>
          </cell>
          <cell r="F348">
            <v>1</v>
          </cell>
          <cell r="G348">
            <v>0</v>
          </cell>
          <cell r="H348">
            <v>0</v>
          </cell>
        </row>
        <row r="349">
          <cell r="A349">
            <v>2089</v>
          </cell>
          <cell r="B349" t="str">
            <v>Moyen</v>
          </cell>
          <cell r="D349" t="str">
            <v>*</v>
          </cell>
          <cell r="F349">
            <v>1</v>
          </cell>
          <cell r="G349">
            <v>0</v>
          </cell>
          <cell r="H349">
            <v>997054.64</v>
          </cell>
        </row>
        <row r="350">
          <cell r="A350">
            <v>2090</v>
          </cell>
          <cell r="B350" t="str">
            <v>Moyen</v>
          </cell>
          <cell r="D350" t="str">
            <v>*</v>
          </cell>
          <cell r="F350">
            <v>1</v>
          </cell>
          <cell r="G350">
            <v>0</v>
          </cell>
          <cell r="H350">
            <v>0</v>
          </cell>
        </row>
        <row r="351">
          <cell r="A351">
            <v>2091</v>
          </cell>
          <cell r="B351" t="str">
            <v>Moyen</v>
          </cell>
          <cell r="D351" t="str">
            <v>*</v>
          </cell>
          <cell r="F351">
            <v>1</v>
          </cell>
          <cell r="G351">
            <v>0</v>
          </cell>
          <cell r="H351">
            <v>86825</v>
          </cell>
        </row>
        <row r="352">
          <cell r="A352">
            <v>2092</v>
          </cell>
          <cell r="B352" t="str">
            <v>Moyen</v>
          </cell>
          <cell r="D352" t="str">
            <v>*</v>
          </cell>
          <cell r="F352">
            <v>1</v>
          </cell>
          <cell r="G352">
            <v>0</v>
          </cell>
          <cell r="H352">
            <v>168425</v>
          </cell>
        </row>
        <row r="353">
          <cell r="A353">
            <v>2093</v>
          </cell>
          <cell r="B353" t="str">
            <v>Moyen</v>
          </cell>
          <cell r="D353" t="str">
            <v>*</v>
          </cell>
          <cell r="F353">
            <v>1</v>
          </cell>
          <cell r="G353">
            <v>0</v>
          </cell>
          <cell r="H353">
            <v>0</v>
          </cell>
        </row>
        <row r="354">
          <cell r="A354">
            <v>2094</v>
          </cell>
          <cell r="B354" t="str">
            <v>Moyen</v>
          </cell>
          <cell r="D354" t="str">
            <v>*</v>
          </cell>
          <cell r="F354">
            <v>1</v>
          </cell>
          <cell r="G354">
            <v>0</v>
          </cell>
          <cell r="H354">
            <v>0</v>
          </cell>
        </row>
        <row r="355">
          <cell r="A355">
            <v>2095</v>
          </cell>
          <cell r="B355" t="str">
            <v>Moyen</v>
          </cell>
          <cell r="D355" t="str">
            <v>*</v>
          </cell>
          <cell r="F355">
            <v>1</v>
          </cell>
          <cell r="G355">
            <v>0</v>
          </cell>
          <cell r="H355">
            <v>0</v>
          </cell>
        </row>
        <row r="356">
          <cell r="A356">
            <v>2096</v>
          </cell>
          <cell r="B356" t="str">
            <v>Moyen</v>
          </cell>
          <cell r="D356" t="str">
            <v>*</v>
          </cell>
          <cell r="F356">
            <v>1</v>
          </cell>
          <cell r="G356">
            <v>0</v>
          </cell>
          <cell r="H356">
            <v>419026</v>
          </cell>
        </row>
        <row r="357">
          <cell r="A357">
            <v>2097</v>
          </cell>
          <cell r="B357" t="str">
            <v>Moyen</v>
          </cell>
          <cell r="D357" t="str">
            <v>*</v>
          </cell>
          <cell r="F357">
            <v>1</v>
          </cell>
          <cell r="G357">
            <v>0</v>
          </cell>
          <cell r="H357">
            <v>0</v>
          </cell>
        </row>
        <row r="358">
          <cell r="A358">
            <v>2098</v>
          </cell>
          <cell r="B358" t="str">
            <v>Moyen</v>
          </cell>
          <cell r="D358" t="str">
            <v>*</v>
          </cell>
          <cell r="F358">
            <v>1</v>
          </cell>
          <cell r="G358">
            <v>0</v>
          </cell>
          <cell r="H358">
            <v>1</v>
          </cell>
        </row>
        <row r="359">
          <cell r="A359">
            <v>2099</v>
          </cell>
          <cell r="B359" t="str">
            <v>Moyen</v>
          </cell>
          <cell r="D359" t="str">
            <v>*</v>
          </cell>
          <cell r="F359">
            <v>1</v>
          </cell>
          <cell r="G359">
            <v>0</v>
          </cell>
          <cell r="H359">
            <v>0</v>
          </cell>
        </row>
        <row r="360">
          <cell r="A360">
            <v>2100</v>
          </cell>
          <cell r="B360" t="str">
            <v>Moyen</v>
          </cell>
          <cell r="D360" t="str">
            <v>*</v>
          </cell>
          <cell r="F360">
            <v>1</v>
          </cell>
          <cell r="G360">
            <v>0</v>
          </cell>
          <cell r="H360">
            <v>0</v>
          </cell>
        </row>
        <row r="361">
          <cell r="A361">
            <v>2101</v>
          </cell>
          <cell r="B361" t="str">
            <v>Moyen</v>
          </cell>
          <cell r="D361" t="str">
            <v>*</v>
          </cell>
          <cell r="F361">
            <v>1</v>
          </cell>
          <cell r="G361">
            <v>0</v>
          </cell>
          <cell r="H361">
            <v>0</v>
          </cell>
        </row>
        <row r="362">
          <cell r="A362">
            <v>2102</v>
          </cell>
          <cell r="B362" t="str">
            <v>Moyen</v>
          </cell>
          <cell r="D362" t="str">
            <v>*</v>
          </cell>
          <cell r="F362">
            <v>1</v>
          </cell>
          <cell r="G362">
            <v>0</v>
          </cell>
          <cell r="H362">
            <v>0</v>
          </cell>
        </row>
        <row r="363">
          <cell r="A363">
            <v>2103</v>
          </cell>
          <cell r="B363" t="str">
            <v>Moyen</v>
          </cell>
          <cell r="D363" t="str">
            <v>*</v>
          </cell>
          <cell r="F363">
            <v>1</v>
          </cell>
          <cell r="G363">
            <v>0</v>
          </cell>
          <cell r="H363">
            <v>2826</v>
          </cell>
        </row>
        <row r="364">
          <cell r="A364">
            <v>2104</v>
          </cell>
          <cell r="B364" t="str">
            <v>Moyen</v>
          </cell>
          <cell r="D364" t="str">
            <v>*</v>
          </cell>
          <cell r="F364">
            <v>1</v>
          </cell>
          <cell r="G364">
            <v>0</v>
          </cell>
          <cell r="H364">
            <v>0</v>
          </cell>
        </row>
        <row r="365">
          <cell r="A365">
            <v>2105</v>
          </cell>
          <cell r="B365" t="str">
            <v>Moyen</v>
          </cell>
          <cell r="D365" t="str">
            <v>*</v>
          </cell>
          <cell r="F365">
            <v>1</v>
          </cell>
          <cell r="G365">
            <v>0</v>
          </cell>
          <cell r="H365">
            <v>17694.440074999999</v>
          </cell>
        </row>
        <row r="366">
          <cell r="A366">
            <v>2106</v>
          </cell>
          <cell r="B366" t="str">
            <v>Moyen</v>
          </cell>
          <cell r="D366" t="str">
            <v>*</v>
          </cell>
          <cell r="F366">
            <v>1</v>
          </cell>
          <cell r="G366">
            <v>0</v>
          </cell>
          <cell r="H366">
            <v>324334</v>
          </cell>
        </row>
        <row r="367">
          <cell r="A367">
            <v>2107</v>
          </cell>
          <cell r="B367" t="str">
            <v>Moyen</v>
          </cell>
          <cell r="D367" t="str">
            <v>*</v>
          </cell>
          <cell r="F367">
            <v>1</v>
          </cell>
          <cell r="G367">
            <v>0</v>
          </cell>
          <cell r="H367">
            <v>86026</v>
          </cell>
        </row>
        <row r="368">
          <cell r="A368">
            <v>2108</v>
          </cell>
          <cell r="B368" t="str">
            <v>Moyen</v>
          </cell>
          <cell r="D368" t="str">
            <v>*</v>
          </cell>
          <cell r="F368">
            <v>1</v>
          </cell>
          <cell r="G368">
            <v>0</v>
          </cell>
          <cell r="H368">
            <v>0</v>
          </cell>
        </row>
        <row r="369">
          <cell r="A369">
            <v>2109</v>
          </cell>
          <cell r="B369" t="str">
            <v>Moyen</v>
          </cell>
          <cell r="D369" t="str">
            <v>*</v>
          </cell>
          <cell r="F369">
            <v>1</v>
          </cell>
          <cell r="G369">
            <v>0</v>
          </cell>
          <cell r="H369">
            <v>1</v>
          </cell>
        </row>
        <row r="370">
          <cell r="A370">
            <v>2110</v>
          </cell>
          <cell r="B370" t="str">
            <v>Moyen</v>
          </cell>
          <cell r="D370" t="str">
            <v>*</v>
          </cell>
          <cell r="F370">
            <v>1</v>
          </cell>
          <cell r="G370">
            <v>0</v>
          </cell>
          <cell r="H370">
            <v>1</v>
          </cell>
        </row>
        <row r="371">
          <cell r="A371">
            <v>2111</v>
          </cell>
          <cell r="B371" t="str">
            <v>Moyen</v>
          </cell>
          <cell r="D371" t="str">
            <v>*</v>
          </cell>
          <cell r="F371">
            <v>1</v>
          </cell>
          <cell r="G371">
            <v>0</v>
          </cell>
          <cell r="H371">
            <v>4680.2531950000002</v>
          </cell>
        </row>
        <row r="372">
          <cell r="A372">
            <v>2112</v>
          </cell>
          <cell r="B372" t="str">
            <v>Moyen</v>
          </cell>
          <cell r="D372" t="str">
            <v>*</v>
          </cell>
          <cell r="F372">
            <v>1</v>
          </cell>
          <cell r="G372">
            <v>0</v>
          </cell>
          <cell r="H372">
            <v>6558</v>
          </cell>
        </row>
        <row r="373">
          <cell r="A373">
            <v>2113</v>
          </cell>
          <cell r="B373" t="str">
            <v>Moyen</v>
          </cell>
          <cell r="D373" t="str">
            <v>*</v>
          </cell>
          <cell r="F373">
            <v>1</v>
          </cell>
          <cell r="G373">
            <v>0</v>
          </cell>
          <cell r="H373">
            <v>0</v>
          </cell>
        </row>
        <row r="374">
          <cell r="A374">
            <v>2114</v>
          </cell>
          <cell r="B374" t="str">
            <v>Moyen</v>
          </cell>
          <cell r="D374" t="str">
            <v>*</v>
          </cell>
          <cell r="F374">
            <v>1</v>
          </cell>
          <cell r="G374">
            <v>0</v>
          </cell>
          <cell r="H374">
            <v>0</v>
          </cell>
        </row>
        <row r="375">
          <cell r="A375">
            <v>2115</v>
          </cell>
          <cell r="B375" t="str">
            <v>Moyen</v>
          </cell>
          <cell r="D375" t="str">
            <v>*</v>
          </cell>
          <cell r="F375">
            <v>1</v>
          </cell>
          <cell r="G375">
            <v>0</v>
          </cell>
          <cell r="H375">
            <v>0</v>
          </cell>
        </row>
        <row r="376">
          <cell r="A376">
            <v>2116</v>
          </cell>
          <cell r="B376" t="str">
            <v>Moyen</v>
          </cell>
          <cell r="D376" t="str">
            <v>*</v>
          </cell>
          <cell r="F376">
            <v>1</v>
          </cell>
          <cell r="G376">
            <v>0</v>
          </cell>
          <cell r="H376">
            <v>636</v>
          </cell>
        </row>
        <row r="377">
          <cell r="A377">
            <v>2117</v>
          </cell>
          <cell r="B377" t="str">
            <v>Moyen</v>
          </cell>
          <cell r="D377" t="str">
            <v>*</v>
          </cell>
          <cell r="F377">
            <v>1</v>
          </cell>
          <cell r="G377">
            <v>0</v>
          </cell>
          <cell r="H377">
            <v>0</v>
          </cell>
        </row>
        <row r="378">
          <cell r="A378">
            <v>2118</v>
          </cell>
          <cell r="B378" t="str">
            <v>Moyen</v>
          </cell>
          <cell r="D378" t="str">
            <v>*</v>
          </cell>
          <cell r="F378">
            <v>1</v>
          </cell>
          <cell r="G378">
            <v>0</v>
          </cell>
          <cell r="H378">
            <v>0</v>
          </cell>
        </row>
        <row r="379">
          <cell r="A379">
            <v>2119</v>
          </cell>
          <cell r="B379" t="str">
            <v>Moyen</v>
          </cell>
          <cell r="D379" t="str">
            <v>*</v>
          </cell>
          <cell r="F379">
            <v>1</v>
          </cell>
          <cell r="G379">
            <v>0</v>
          </cell>
          <cell r="H379">
            <v>1254174</v>
          </cell>
        </row>
        <row r="380">
          <cell r="A380">
            <v>2120</v>
          </cell>
          <cell r="B380" t="str">
            <v>Moyen</v>
          </cell>
          <cell r="D380" t="str">
            <v>*</v>
          </cell>
          <cell r="F380">
            <v>1</v>
          </cell>
          <cell r="G380">
            <v>0</v>
          </cell>
          <cell r="H380">
            <v>200</v>
          </cell>
        </row>
        <row r="381">
          <cell r="A381">
            <v>2121</v>
          </cell>
          <cell r="B381" t="str">
            <v>Moyen</v>
          </cell>
          <cell r="D381" t="str">
            <v>*</v>
          </cell>
          <cell r="F381">
            <v>1</v>
          </cell>
          <cell r="G381">
            <v>0</v>
          </cell>
          <cell r="H381">
            <v>524791.83828000003</v>
          </cell>
        </row>
        <row r="382">
          <cell r="A382">
            <v>2122</v>
          </cell>
          <cell r="B382" t="str">
            <v>Moyen</v>
          </cell>
          <cell r="D382" t="str">
            <v>*</v>
          </cell>
          <cell r="F382">
            <v>1</v>
          </cell>
          <cell r="G382">
            <v>0</v>
          </cell>
          <cell r="H382">
            <v>499</v>
          </cell>
        </row>
        <row r="383">
          <cell r="A383">
            <v>2123</v>
          </cell>
          <cell r="B383" t="str">
            <v>Moyen</v>
          </cell>
          <cell r="D383" t="str">
            <v>*</v>
          </cell>
          <cell r="F383">
            <v>1</v>
          </cell>
          <cell r="G383">
            <v>0</v>
          </cell>
          <cell r="H383">
            <v>25635</v>
          </cell>
        </row>
        <row r="384">
          <cell r="A384">
            <v>2124</v>
          </cell>
          <cell r="B384" t="str">
            <v>Moyen</v>
          </cell>
          <cell r="D384" t="str">
            <v>*</v>
          </cell>
          <cell r="F384">
            <v>1</v>
          </cell>
          <cell r="G384">
            <v>0</v>
          </cell>
          <cell r="H384">
            <v>0</v>
          </cell>
        </row>
        <row r="385">
          <cell r="A385">
            <v>2125</v>
          </cell>
          <cell r="B385" t="str">
            <v>Moyen</v>
          </cell>
          <cell r="D385" t="str">
            <v>*</v>
          </cell>
          <cell r="F385">
            <v>1</v>
          </cell>
          <cell r="G385">
            <v>0</v>
          </cell>
          <cell r="H385">
            <v>0</v>
          </cell>
        </row>
        <row r="386">
          <cell r="A386">
            <v>2126</v>
          </cell>
          <cell r="B386" t="str">
            <v>Moyen</v>
          </cell>
          <cell r="D386" t="str">
            <v>*</v>
          </cell>
          <cell r="F386">
            <v>1</v>
          </cell>
          <cell r="G386">
            <v>0</v>
          </cell>
          <cell r="H386">
            <v>0</v>
          </cell>
        </row>
        <row r="387">
          <cell r="A387">
            <v>2127</v>
          </cell>
          <cell r="B387" t="str">
            <v>Moyen</v>
          </cell>
          <cell r="D387" t="str">
            <v>*</v>
          </cell>
          <cell r="F387">
            <v>1</v>
          </cell>
          <cell r="G387">
            <v>0</v>
          </cell>
          <cell r="H387">
            <v>1271.3400547276599</v>
          </cell>
        </row>
        <row r="388">
          <cell r="A388">
            <v>2128</v>
          </cell>
          <cell r="B388" t="str">
            <v>Moyen</v>
          </cell>
          <cell r="D388" t="str">
            <v>*</v>
          </cell>
          <cell r="F388">
            <v>1</v>
          </cell>
          <cell r="G388">
            <v>0</v>
          </cell>
          <cell r="H388">
            <v>41887</v>
          </cell>
        </row>
        <row r="389">
          <cell r="A389">
            <v>2129</v>
          </cell>
          <cell r="B389" t="str">
            <v>Moyen</v>
          </cell>
          <cell r="D389" t="str">
            <v>*</v>
          </cell>
          <cell r="F389">
            <v>1</v>
          </cell>
          <cell r="G389">
            <v>0</v>
          </cell>
          <cell r="H389">
            <v>172390.92507417599</v>
          </cell>
        </row>
        <row r="390">
          <cell r="A390">
            <v>2130</v>
          </cell>
          <cell r="B390" t="str">
            <v>Moyen</v>
          </cell>
          <cell r="D390" t="str">
            <v>*</v>
          </cell>
          <cell r="F390">
            <v>1</v>
          </cell>
          <cell r="G390">
            <v>0</v>
          </cell>
          <cell r="H390">
            <v>1</v>
          </cell>
        </row>
        <row r="391">
          <cell r="A391">
            <v>2131</v>
          </cell>
          <cell r="B391" t="str">
            <v>Moyen</v>
          </cell>
          <cell r="D391" t="str">
            <v>*</v>
          </cell>
          <cell r="F391">
            <v>1</v>
          </cell>
          <cell r="G391">
            <v>0</v>
          </cell>
          <cell r="H391">
            <v>1</v>
          </cell>
        </row>
        <row r="392">
          <cell r="A392">
            <v>2132</v>
          </cell>
          <cell r="B392" t="str">
            <v>Moyen</v>
          </cell>
          <cell r="D392" t="str">
            <v>*</v>
          </cell>
          <cell r="F392">
            <v>1</v>
          </cell>
          <cell r="G392">
            <v>0</v>
          </cell>
          <cell r="H392">
            <v>94190</v>
          </cell>
        </row>
        <row r="393">
          <cell r="A393">
            <v>2133</v>
          </cell>
          <cell r="B393" t="str">
            <v>Moyen</v>
          </cell>
          <cell r="D393" t="str">
            <v>*</v>
          </cell>
          <cell r="F393">
            <v>1</v>
          </cell>
          <cell r="G393">
            <v>0</v>
          </cell>
          <cell r="H393">
            <v>223</v>
          </cell>
        </row>
        <row r="394">
          <cell r="A394">
            <v>2134</v>
          </cell>
          <cell r="B394" t="str">
            <v>Moyen</v>
          </cell>
          <cell r="D394" t="str">
            <v>*</v>
          </cell>
          <cell r="F394">
            <v>1</v>
          </cell>
          <cell r="G394">
            <v>0</v>
          </cell>
          <cell r="H394">
            <v>1</v>
          </cell>
        </row>
        <row r="395">
          <cell r="A395">
            <v>2135</v>
          </cell>
          <cell r="B395" t="str">
            <v>Moyen</v>
          </cell>
          <cell r="D395" t="str">
            <v>*</v>
          </cell>
          <cell r="F395">
            <v>1</v>
          </cell>
          <cell r="G395">
            <v>0</v>
          </cell>
          <cell r="H395">
            <v>0</v>
          </cell>
        </row>
        <row r="396">
          <cell r="A396">
            <v>2136</v>
          </cell>
          <cell r="B396" t="str">
            <v>Moyen</v>
          </cell>
          <cell r="D396" t="str">
            <v>*</v>
          </cell>
          <cell r="F396">
            <v>1</v>
          </cell>
          <cell r="G396">
            <v>0</v>
          </cell>
          <cell r="H396">
            <v>64284</v>
          </cell>
        </row>
        <row r="397">
          <cell r="A397">
            <v>2137</v>
          </cell>
          <cell r="B397" t="str">
            <v>Moyen</v>
          </cell>
          <cell r="D397" t="str">
            <v>*</v>
          </cell>
          <cell r="F397">
            <v>1</v>
          </cell>
          <cell r="G397">
            <v>0</v>
          </cell>
          <cell r="H397">
            <v>7112.0652090908998</v>
          </cell>
        </row>
        <row r="398">
          <cell r="A398">
            <v>2138</v>
          </cell>
          <cell r="B398" t="str">
            <v>Moyen</v>
          </cell>
          <cell r="D398" t="str">
            <v>*</v>
          </cell>
          <cell r="F398">
            <v>1</v>
          </cell>
          <cell r="G398">
            <v>0</v>
          </cell>
          <cell r="H398">
            <v>16713.784360000001</v>
          </cell>
        </row>
        <row r="399">
          <cell r="A399">
            <v>2139</v>
          </cell>
          <cell r="B399" t="str">
            <v>Moyen</v>
          </cell>
          <cell r="D399" t="str">
            <v>*</v>
          </cell>
          <cell r="F399">
            <v>1</v>
          </cell>
          <cell r="G399">
            <v>0</v>
          </cell>
          <cell r="H399">
            <v>0</v>
          </cell>
        </row>
        <row r="400">
          <cell r="A400">
            <v>2140</v>
          </cell>
          <cell r="B400" t="str">
            <v>Moyen</v>
          </cell>
          <cell r="D400" t="str">
            <v>*</v>
          </cell>
          <cell r="F400">
            <v>1</v>
          </cell>
          <cell r="G400">
            <v>0</v>
          </cell>
          <cell r="H400">
            <v>15605</v>
          </cell>
        </row>
        <row r="401">
          <cell r="A401">
            <v>2141</v>
          </cell>
          <cell r="B401" t="str">
            <v>Moyen</v>
          </cell>
          <cell r="D401" t="str">
            <v>*</v>
          </cell>
          <cell r="F401">
            <v>1</v>
          </cell>
          <cell r="G401">
            <v>0</v>
          </cell>
          <cell r="H401">
            <v>10704</v>
          </cell>
        </row>
        <row r="402">
          <cell r="A402">
            <v>2142</v>
          </cell>
          <cell r="B402" t="str">
            <v>Moyen</v>
          </cell>
          <cell r="D402" t="str">
            <v>*</v>
          </cell>
          <cell r="F402">
            <v>1</v>
          </cell>
          <cell r="G402">
            <v>0</v>
          </cell>
          <cell r="H402">
            <v>48416.186170000001</v>
          </cell>
        </row>
        <row r="403">
          <cell r="A403">
            <v>2143</v>
          </cell>
          <cell r="B403" t="str">
            <v>Moyen</v>
          </cell>
          <cell r="D403" t="str">
            <v>*</v>
          </cell>
          <cell r="F403">
            <v>1</v>
          </cell>
          <cell r="G403">
            <v>0</v>
          </cell>
          <cell r="H403">
            <v>52312</v>
          </cell>
        </row>
        <row r="404">
          <cell r="A404">
            <v>2144</v>
          </cell>
          <cell r="B404" t="str">
            <v>Moyen</v>
          </cell>
          <cell r="D404" t="str">
            <v>*</v>
          </cell>
          <cell r="F404">
            <v>1</v>
          </cell>
          <cell r="G404">
            <v>0</v>
          </cell>
          <cell r="H404">
            <v>46179.372799999997</v>
          </cell>
        </row>
        <row r="405">
          <cell r="A405">
            <v>2145</v>
          </cell>
          <cell r="B405" t="str">
            <v>Moyen</v>
          </cell>
          <cell r="D405" t="str">
            <v>*</v>
          </cell>
          <cell r="F405">
            <v>1</v>
          </cell>
          <cell r="G405">
            <v>0</v>
          </cell>
          <cell r="H405">
            <v>44931</v>
          </cell>
        </row>
        <row r="406">
          <cell r="A406">
            <v>2146</v>
          </cell>
          <cell r="B406" t="str">
            <v>Moyen</v>
          </cell>
          <cell r="D406" t="str">
            <v>*</v>
          </cell>
          <cell r="F406">
            <v>1</v>
          </cell>
          <cell r="G406">
            <v>0</v>
          </cell>
          <cell r="H406">
            <v>60419</v>
          </cell>
        </row>
        <row r="407">
          <cell r="A407">
            <v>2147</v>
          </cell>
          <cell r="B407" t="str">
            <v>Moyen</v>
          </cell>
          <cell r="D407" t="str">
            <v>*</v>
          </cell>
          <cell r="F407">
            <v>1</v>
          </cell>
          <cell r="G407">
            <v>0</v>
          </cell>
          <cell r="H407">
            <v>61935</v>
          </cell>
        </row>
        <row r="408">
          <cell r="A408">
            <v>2148</v>
          </cell>
          <cell r="B408" t="str">
            <v>Moyen</v>
          </cell>
          <cell r="D408" t="str">
            <v>*</v>
          </cell>
          <cell r="F408">
            <v>1</v>
          </cell>
          <cell r="G408">
            <v>0</v>
          </cell>
          <cell r="H408">
            <v>35707</v>
          </cell>
        </row>
        <row r="409">
          <cell r="A409">
            <v>2149</v>
          </cell>
          <cell r="B409" t="str">
            <v>Moyen</v>
          </cell>
          <cell r="D409" t="str">
            <v>*</v>
          </cell>
          <cell r="F409">
            <v>1</v>
          </cell>
          <cell r="G409">
            <v>0</v>
          </cell>
          <cell r="H409">
            <v>0</v>
          </cell>
        </row>
        <row r="410">
          <cell r="A410">
            <v>2150</v>
          </cell>
          <cell r="B410" t="str">
            <v>Moyen</v>
          </cell>
          <cell r="D410" t="str">
            <v>*</v>
          </cell>
          <cell r="F410">
            <v>1</v>
          </cell>
          <cell r="G410">
            <v>0</v>
          </cell>
          <cell r="H410">
            <v>98458.0524</v>
          </cell>
        </row>
        <row r="411">
          <cell r="A411">
            <v>2151</v>
          </cell>
          <cell r="B411" t="str">
            <v>Moyen</v>
          </cell>
          <cell r="D411" t="str">
            <v>*</v>
          </cell>
          <cell r="F411">
            <v>1</v>
          </cell>
          <cell r="G411">
            <v>0</v>
          </cell>
          <cell r="H411">
            <v>9806.5361691159596</v>
          </cell>
        </row>
        <row r="412">
          <cell r="A412">
            <v>2152</v>
          </cell>
          <cell r="B412" t="str">
            <v>Moyen</v>
          </cell>
          <cell r="D412" t="str">
            <v>*</v>
          </cell>
          <cell r="F412">
            <v>1</v>
          </cell>
          <cell r="G412">
            <v>0</v>
          </cell>
          <cell r="H412">
            <v>121075</v>
          </cell>
        </row>
        <row r="413">
          <cell r="A413">
            <v>2153</v>
          </cell>
          <cell r="B413" t="str">
            <v>Moyen</v>
          </cell>
          <cell r="D413" t="str">
            <v>*</v>
          </cell>
          <cell r="F413">
            <v>1</v>
          </cell>
          <cell r="G413">
            <v>0</v>
          </cell>
          <cell r="H413">
            <v>0</v>
          </cell>
        </row>
        <row r="414">
          <cell r="A414">
            <v>2154</v>
          </cell>
          <cell r="B414" t="str">
            <v>Moyen</v>
          </cell>
          <cell r="D414" t="str">
            <v>*</v>
          </cell>
          <cell r="F414">
            <v>1</v>
          </cell>
          <cell r="G414">
            <v>0</v>
          </cell>
          <cell r="H414">
            <v>266716</v>
          </cell>
        </row>
        <row r="415">
          <cell r="A415">
            <v>2155</v>
          </cell>
          <cell r="B415" t="str">
            <v>Moyen</v>
          </cell>
          <cell r="D415" t="str">
            <v>*</v>
          </cell>
          <cell r="F415">
            <v>1</v>
          </cell>
          <cell r="G415">
            <v>0</v>
          </cell>
          <cell r="H415">
            <v>56895</v>
          </cell>
        </row>
        <row r="416">
          <cell r="A416">
            <v>2156</v>
          </cell>
          <cell r="B416" t="str">
            <v>Moyen</v>
          </cell>
          <cell r="D416" t="str">
            <v>*</v>
          </cell>
          <cell r="F416">
            <v>1</v>
          </cell>
          <cell r="G416">
            <v>0</v>
          </cell>
          <cell r="H416">
            <v>0</v>
          </cell>
        </row>
        <row r="417">
          <cell r="A417">
            <v>2157</v>
          </cell>
          <cell r="B417" t="str">
            <v>Moyen</v>
          </cell>
          <cell r="D417" t="str">
            <v>*</v>
          </cell>
          <cell r="F417">
            <v>1</v>
          </cell>
          <cell r="G417">
            <v>0</v>
          </cell>
          <cell r="H417">
            <v>0</v>
          </cell>
        </row>
        <row r="418">
          <cell r="A418">
            <v>2158</v>
          </cell>
          <cell r="B418" t="str">
            <v>Moyen</v>
          </cell>
          <cell r="D418" t="str">
            <v>*</v>
          </cell>
          <cell r="F418">
            <v>1</v>
          </cell>
          <cell r="G418">
            <v>0</v>
          </cell>
          <cell r="H418">
            <v>0</v>
          </cell>
        </row>
        <row r="419">
          <cell r="A419">
            <v>2159</v>
          </cell>
          <cell r="B419" t="str">
            <v>Moyen</v>
          </cell>
          <cell r="D419" t="str">
            <v>*</v>
          </cell>
          <cell r="F419">
            <v>1</v>
          </cell>
          <cell r="G419">
            <v>0</v>
          </cell>
          <cell r="H419">
            <v>0</v>
          </cell>
        </row>
        <row r="420">
          <cell r="A420">
            <v>2160</v>
          </cell>
          <cell r="B420" t="str">
            <v>Moyen</v>
          </cell>
          <cell r="D420" t="str">
            <v>*</v>
          </cell>
          <cell r="F420">
            <v>1</v>
          </cell>
          <cell r="G420">
            <v>0</v>
          </cell>
          <cell r="H420">
            <v>2734</v>
          </cell>
        </row>
        <row r="421">
          <cell r="A421">
            <v>2161</v>
          </cell>
          <cell r="B421" t="str">
            <v>Moyen</v>
          </cell>
          <cell r="D421" t="str">
            <v>*</v>
          </cell>
          <cell r="F421">
            <v>1</v>
          </cell>
          <cell r="G421">
            <v>0</v>
          </cell>
          <cell r="H421">
            <v>9365.9580122242805</v>
          </cell>
        </row>
        <row r="422">
          <cell r="A422">
            <v>2162</v>
          </cell>
          <cell r="B422" t="str">
            <v>Moyen</v>
          </cell>
          <cell r="D422" t="str">
            <v>*</v>
          </cell>
          <cell r="F422">
            <v>1</v>
          </cell>
          <cell r="G422">
            <v>0</v>
          </cell>
          <cell r="H422">
            <v>171599</v>
          </cell>
        </row>
        <row r="423">
          <cell r="A423">
            <v>2163</v>
          </cell>
          <cell r="B423" t="str">
            <v>Moyen</v>
          </cell>
          <cell r="D423" t="str">
            <v>*</v>
          </cell>
          <cell r="F423">
            <v>1</v>
          </cell>
          <cell r="G423">
            <v>0</v>
          </cell>
          <cell r="H423">
            <v>154491</v>
          </cell>
        </row>
        <row r="424">
          <cell r="A424">
            <v>2164</v>
          </cell>
          <cell r="B424" t="str">
            <v>Moyen</v>
          </cell>
          <cell r="D424" t="str">
            <v>*</v>
          </cell>
          <cell r="F424">
            <v>1</v>
          </cell>
          <cell r="G424">
            <v>0</v>
          </cell>
          <cell r="H424">
            <v>0</v>
          </cell>
        </row>
        <row r="425">
          <cell r="A425">
            <v>2165</v>
          </cell>
          <cell r="B425" t="str">
            <v>Moyen</v>
          </cell>
          <cell r="D425" t="str">
            <v>*</v>
          </cell>
          <cell r="F425">
            <v>1</v>
          </cell>
          <cell r="G425">
            <v>0</v>
          </cell>
          <cell r="H425">
            <v>0</v>
          </cell>
        </row>
        <row r="426">
          <cell r="A426">
            <v>2166</v>
          </cell>
          <cell r="B426" t="str">
            <v>Moyen</v>
          </cell>
          <cell r="D426" t="str">
            <v>*</v>
          </cell>
          <cell r="F426">
            <v>1</v>
          </cell>
          <cell r="G426">
            <v>0</v>
          </cell>
          <cell r="H426">
            <v>0</v>
          </cell>
        </row>
        <row r="427">
          <cell r="A427">
            <v>2167</v>
          </cell>
          <cell r="B427" t="str">
            <v>Moyen</v>
          </cell>
          <cell r="D427" t="str">
            <v>*</v>
          </cell>
          <cell r="F427">
            <v>1</v>
          </cell>
          <cell r="G427">
            <v>0</v>
          </cell>
          <cell r="H427">
            <v>0</v>
          </cell>
        </row>
        <row r="428">
          <cell r="A428">
            <v>2168</v>
          </cell>
          <cell r="B428" t="str">
            <v>Moyen</v>
          </cell>
          <cell r="D428" t="str">
            <v>*</v>
          </cell>
          <cell r="F428">
            <v>1</v>
          </cell>
          <cell r="G428">
            <v>0</v>
          </cell>
          <cell r="H428">
            <v>0</v>
          </cell>
        </row>
        <row r="429">
          <cell r="A429">
            <v>2169</v>
          </cell>
          <cell r="B429" t="str">
            <v>Moyen</v>
          </cell>
          <cell r="D429" t="str">
            <v>*</v>
          </cell>
          <cell r="F429">
            <v>1</v>
          </cell>
          <cell r="G429">
            <v>0</v>
          </cell>
          <cell r="H429">
            <v>0</v>
          </cell>
        </row>
        <row r="430">
          <cell r="A430">
            <v>2170</v>
          </cell>
          <cell r="B430" t="str">
            <v>Moyen</v>
          </cell>
          <cell r="D430" t="str">
            <v>*</v>
          </cell>
          <cell r="F430">
            <v>1</v>
          </cell>
          <cell r="G430">
            <v>0</v>
          </cell>
          <cell r="H430">
            <v>2653</v>
          </cell>
        </row>
        <row r="431">
          <cell r="A431">
            <v>2171</v>
          </cell>
          <cell r="B431" t="str">
            <v>Moyen</v>
          </cell>
          <cell r="D431" t="str">
            <v>*</v>
          </cell>
          <cell r="F431">
            <v>1</v>
          </cell>
          <cell r="G431">
            <v>0</v>
          </cell>
          <cell r="H431">
            <v>85097</v>
          </cell>
        </row>
        <row r="432">
          <cell r="A432">
            <v>2172</v>
          </cell>
          <cell r="B432" t="str">
            <v>Moyen</v>
          </cell>
          <cell r="D432" t="str">
            <v>*</v>
          </cell>
          <cell r="F432">
            <v>1</v>
          </cell>
          <cell r="G432">
            <v>0</v>
          </cell>
          <cell r="H432">
            <v>0</v>
          </cell>
        </row>
        <row r="433">
          <cell r="A433">
            <v>2195</v>
          </cell>
          <cell r="B433" t="str">
            <v>Moyen</v>
          </cell>
          <cell r="D433" t="str">
            <v>*</v>
          </cell>
          <cell r="F433">
            <v>1</v>
          </cell>
          <cell r="G433">
            <v>0</v>
          </cell>
          <cell r="H433">
            <v>3234882.03525934</v>
          </cell>
        </row>
        <row r="434">
          <cell r="A434">
            <v>2196</v>
          </cell>
          <cell r="B434" t="str">
            <v>Moyen</v>
          </cell>
          <cell r="D434" t="str">
            <v>*</v>
          </cell>
          <cell r="F434">
            <v>1</v>
          </cell>
          <cell r="G434">
            <v>0</v>
          </cell>
          <cell r="H434">
            <v>0</v>
          </cell>
        </row>
        <row r="435">
          <cell r="A435">
            <v>2197</v>
          </cell>
          <cell r="B435" t="str">
            <v>Moyen</v>
          </cell>
          <cell r="D435" t="str">
            <v>*</v>
          </cell>
          <cell r="F435">
            <v>1</v>
          </cell>
          <cell r="G435">
            <v>0</v>
          </cell>
          <cell r="H435">
            <v>1</v>
          </cell>
        </row>
        <row r="436">
          <cell r="A436">
            <v>2198</v>
          </cell>
          <cell r="B436" t="str">
            <v>Moyen</v>
          </cell>
          <cell r="D436" t="str">
            <v>*</v>
          </cell>
          <cell r="F436">
            <v>1</v>
          </cell>
          <cell r="G436">
            <v>0</v>
          </cell>
          <cell r="H436">
            <v>0</v>
          </cell>
        </row>
        <row r="437">
          <cell r="A437">
            <v>2199</v>
          </cell>
          <cell r="B437" t="str">
            <v>Moyen</v>
          </cell>
          <cell r="D437" t="str">
            <v>*</v>
          </cell>
          <cell r="F437">
            <v>1</v>
          </cell>
          <cell r="G437">
            <v>0</v>
          </cell>
          <cell r="H437">
            <v>25190</v>
          </cell>
        </row>
        <row r="438">
          <cell r="A438">
            <v>2200</v>
          </cell>
          <cell r="B438" t="str">
            <v>Moyen</v>
          </cell>
          <cell r="D438" t="str">
            <v>*</v>
          </cell>
          <cell r="F438">
            <v>1</v>
          </cell>
          <cell r="G438">
            <v>0</v>
          </cell>
          <cell r="H438">
            <v>778</v>
          </cell>
        </row>
        <row r="439">
          <cell r="A439">
            <v>2201</v>
          </cell>
          <cell r="B439" t="str">
            <v>Moyen</v>
          </cell>
          <cell r="D439" t="str">
            <v>*</v>
          </cell>
          <cell r="F439">
            <v>1</v>
          </cell>
          <cell r="G439">
            <v>0</v>
          </cell>
          <cell r="H439">
            <v>1</v>
          </cell>
        </row>
        <row r="440">
          <cell r="A440">
            <v>2202</v>
          </cell>
          <cell r="B440" t="str">
            <v>Moyen</v>
          </cell>
          <cell r="D440" t="str">
            <v>*</v>
          </cell>
          <cell r="F440">
            <v>1</v>
          </cell>
          <cell r="G440">
            <v>0</v>
          </cell>
          <cell r="H440">
            <v>80355</v>
          </cell>
        </row>
        <row r="441">
          <cell r="A441">
            <v>2205</v>
          </cell>
          <cell r="B441" t="str">
            <v>Moyen</v>
          </cell>
          <cell r="D441" t="str">
            <v>*</v>
          </cell>
          <cell r="F441">
            <v>1</v>
          </cell>
          <cell r="G441">
            <v>0</v>
          </cell>
          <cell r="H441">
            <v>15218</v>
          </cell>
        </row>
        <row r="442">
          <cell r="A442">
            <v>2206</v>
          </cell>
          <cell r="B442" t="str">
            <v>Moyen</v>
          </cell>
          <cell r="D442" t="str">
            <v>*</v>
          </cell>
          <cell r="F442">
            <v>1</v>
          </cell>
          <cell r="G442">
            <v>0</v>
          </cell>
          <cell r="H442">
            <v>1161820.2606381599</v>
          </cell>
        </row>
        <row r="443">
          <cell r="A443">
            <v>2207</v>
          </cell>
          <cell r="B443" t="str">
            <v>Moyen</v>
          </cell>
          <cell r="D443" t="str">
            <v>*</v>
          </cell>
          <cell r="F443">
            <v>1</v>
          </cell>
          <cell r="G443">
            <v>0</v>
          </cell>
          <cell r="H443">
            <v>0</v>
          </cell>
        </row>
        <row r="444">
          <cell r="A444">
            <v>2208</v>
          </cell>
          <cell r="B444" t="str">
            <v>Moyen</v>
          </cell>
          <cell r="D444" t="str">
            <v>*</v>
          </cell>
          <cell r="F444">
            <v>1</v>
          </cell>
          <cell r="G444">
            <v>0</v>
          </cell>
          <cell r="H444">
            <v>708</v>
          </cell>
        </row>
        <row r="445">
          <cell r="A445">
            <v>2209</v>
          </cell>
          <cell r="B445" t="str">
            <v>Moyen</v>
          </cell>
          <cell r="D445" t="str">
            <v>*</v>
          </cell>
          <cell r="F445">
            <v>1</v>
          </cell>
          <cell r="G445">
            <v>0</v>
          </cell>
          <cell r="H445">
            <v>0</v>
          </cell>
        </row>
        <row r="446">
          <cell r="A446">
            <v>2210</v>
          </cell>
          <cell r="B446" t="str">
            <v>Moyen</v>
          </cell>
          <cell r="D446" t="str">
            <v>*</v>
          </cell>
          <cell r="F446">
            <v>1</v>
          </cell>
          <cell r="G446">
            <v>0</v>
          </cell>
          <cell r="H446">
            <v>80355</v>
          </cell>
        </row>
        <row r="447">
          <cell r="A447">
            <v>2212</v>
          </cell>
          <cell r="B447" t="str">
            <v>Moyen</v>
          </cell>
          <cell r="D447" t="str">
            <v>*</v>
          </cell>
          <cell r="F447">
            <v>1</v>
          </cell>
          <cell r="G447">
            <v>0</v>
          </cell>
          <cell r="H447">
            <v>140319</v>
          </cell>
        </row>
        <row r="448">
          <cell r="A448">
            <v>2213</v>
          </cell>
          <cell r="B448" t="str">
            <v>Moyen</v>
          </cell>
          <cell r="D448" t="str">
            <v>*</v>
          </cell>
          <cell r="F448">
            <v>1</v>
          </cell>
          <cell r="G448">
            <v>0</v>
          </cell>
          <cell r="H448">
            <v>201</v>
          </cell>
        </row>
        <row r="449">
          <cell r="A449">
            <v>2214</v>
          </cell>
          <cell r="B449" t="str">
            <v>Moyen</v>
          </cell>
          <cell r="D449" t="str">
            <v>*</v>
          </cell>
          <cell r="F449">
            <v>1</v>
          </cell>
          <cell r="G449">
            <v>0</v>
          </cell>
          <cell r="H449">
            <v>0</v>
          </cell>
        </row>
        <row r="450">
          <cell r="A450">
            <v>2215</v>
          </cell>
          <cell r="B450" t="str">
            <v>Moyen</v>
          </cell>
          <cell r="D450" t="str">
            <v>*</v>
          </cell>
          <cell r="F450">
            <v>1</v>
          </cell>
          <cell r="G450">
            <v>0</v>
          </cell>
          <cell r="H450">
            <v>73383</v>
          </cell>
        </row>
        <row r="451">
          <cell r="A451">
            <v>2216</v>
          </cell>
          <cell r="B451" t="str">
            <v>Moyen</v>
          </cell>
          <cell r="D451" t="str">
            <v>*</v>
          </cell>
          <cell r="F451">
            <v>1</v>
          </cell>
          <cell r="G451">
            <v>0</v>
          </cell>
          <cell r="H451">
            <v>443754.91100000002</v>
          </cell>
        </row>
        <row r="452">
          <cell r="A452">
            <v>2217</v>
          </cell>
          <cell r="B452" t="str">
            <v>Moyen</v>
          </cell>
          <cell r="D452" t="str">
            <v>*</v>
          </cell>
          <cell r="F452">
            <v>1</v>
          </cell>
          <cell r="G452">
            <v>0</v>
          </cell>
          <cell r="H452">
            <v>0</v>
          </cell>
        </row>
        <row r="453">
          <cell r="A453">
            <v>2218</v>
          </cell>
          <cell r="B453" t="str">
            <v>Moyen</v>
          </cell>
          <cell r="D453" t="str">
            <v>*</v>
          </cell>
          <cell r="F453">
            <v>1</v>
          </cell>
          <cell r="G453">
            <v>0</v>
          </cell>
          <cell r="H453">
            <v>783</v>
          </cell>
        </row>
        <row r="454">
          <cell r="A454">
            <v>2219</v>
          </cell>
          <cell r="B454" t="str">
            <v>Moyen</v>
          </cell>
          <cell r="D454" t="str">
            <v>*</v>
          </cell>
          <cell r="F454">
            <v>1</v>
          </cell>
          <cell r="G454">
            <v>0</v>
          </cell>
          <cell r="H454">
            <v>0</v>
          </cell>
        </row>
        <row r="455">
          <cell r="A455">
            <v>2221</v>
          </cell>
          <cell r="B455" t="str">
            <v>Moyen</v>
          </cell>
          <cell r="D455" t="str">
            <v>*</v>
          </cell>
          <cell r="F455">
            <v>1</v>
          </cell>
          <cell r="G455">
            <v>0</v>
          </cell>
          <cell r="H455">
            <v>26567</v>
          </cell>
        </row>
        <row r="456">
          <cell r="A456">
            <v>2222</v>
          </cell>
          <cell r="B456" t="str">
            <v>Moyen</v>
          </cell>
          <cell r="D456" t="str">
            <v>*</v>
          </cell>
          <cell r="F456">
            <v>1</v>
          </cell>
          <cell r="G456">
            <v>0</v>
          </cell>
          <cell r="H456">
            <v>505087</v>
          </cell>
        </row>
        <row r="457">
          <cell r="A457">
            <v>2223</v>
          </cell>
          <cell r="B457" t="str">
            <v>Moyen</v>
          </cell>
          <cell r="D457" t="str">
            <v>*</v>
          </cell>
          <cell r="F457">
            <v>1</v>
          </cell>
          <cell r="G457">
            <v>0</v>
          </cell>
          <cell r="H457">
            <v>25171</v>
          </cell>
        </row>
        <row r="458">
          <cell r="A458">
            <v>2224</v>
          </cell>
          <cell r="B458" t="str">
            <v>Moyen</v>
          </cell>
          <cell r="D458" t="str">
            <v>*</v>
          </cell>
          <cell r="F458">
            <v>1</v>
          </cell>
          <cell r="G458">
            <v>0</v>
          </cell>
          <cell r="H458">
            <v>0</v>
          </cell>
        </row>
        <row r="459">
          <cell r="A459">
            <v>2225</v>
          </cell>
          <cell r="B459" t="str">
            <v>Moyen</v>
          </cell>
          <cell r="D459" t="str">
            <v>*</v>
          </cell>
          <cell r="F459">
            <v>1</v>
          </cell>
          <cell r="G459">
            <v>0</v>
          </cell>
          <cell r="H459">
            <v>0</v>
          </cell>
        </row>
        <row r="460">
          <cell r="A460">
            <v>2226</v>
          </cell>
          <cell r="B460" t="str">
            <v>Moyen</v>
          </cell>
          <cell r="D460" t="str">
            <v>*</v>
          </cell>
          <cell r="F460">
            <v>1</v>
          </cell>
          <cell r="G460">
            <v>0</v>
          </cell>
          <cell r="H460">
            <v>45261.033000000003</v>
          </cell>
        </row>
        <row r="461">
          <cell r="A461">
            <v>2227</v>
          </cell>
          <cell r="B461" t="str">
            <v>Moyen</v>
          </cell>
          <cell r="D461" t="str">
            <v>*</v>
          </cell>
          <cell r="F461">
            <v>1</v>
          </cell>
          <cell r="G461">
            <v>0</v>
          </cell>
          <cell r="H461">
            <v>27761.187000000002</v>
          </cell>
        </row>
        <row r="462">
          <cell r="A462">
            <v>2228</v>
          </cell>
          <cell r="B462" t="str">
            <v>Moyen</v>
          </cell>
          <cell r="D462" t="str">
            <v>*</v>
          </cell>
          <cell r="F462">
            <v>1</v>
          </cell>
          <cell r="G462">
            <v>0</v>
          </cell>
          <cell r="H462">
            <v>0</v>
          </cell>
        </row>
        <row r="463">
          <cell r="A463">
            <v>2229</v>
          </cell>
          <cell r="B463" t="str">
            <v>Moyen</v>
          </cell>
          <cell r="D463" t="str">
            <v>*</v>
          </cell>
          <cell r="F463">
            <v>1</v>
          </cell>
          <cell r="G463">
            <v>0</v>
          </cell>
          <cell r="H463">
            <v>263695</v>
          </cell>
        </row>
        <row r="464">
          <cell r="A464">
            <v>2230</v>
          </cell>
          <cell r="B464" t="str">
            <v>Moyen</v>
          </cell>
          <cell r="D464" t="str">
            <v>*</v>
          </cell>
          <cell r="F464">
            <v>1</v>
          </cell>
          <cell r="G464">
            <v>0</v>
          </cell>
          <cell r="H464">
            <v>0</v>
          </cell>
        </row>
        <row r="465">
          <cell r="A465">
            <v>2231</v>
          </cell>
          <cell r="B465" t="str">
            <v>Moyen</v>
          </cell>
          <cell r="D465" t="str">
            <v>*</v>
          </cell>
          <cell r="F465">
            <v>1</v>
          </cell>
          <cell r="G465">
            <v>0</v>
          </cell>
          <cell r="H465">
            <v>382242</v>
          </cell>
        </row>
        <row r="466">
          <cell r="A466">
            <v>2232</v>
          </cell>
          <cell r="B466" t="str">
            <v>Moyen</v>
          </cell>
          <cell r="D466" t="str">
            <v>*</v>
          </cell>
          <cell r="F466">
            <v>1</v>
          </cell>
          <cell r="G466">
            <v>0</v>
          </cell>
          <cell r="H466">
            <v>0</v>
          </cell>
        </row>
        <row r="467">
          <cell r="A467">
            <v>2233</v>
          </cell>
          <cell r="B467" t="str">
            <v>Moyen</v>
          </cell>
          <cell r="D467" t="str">
            <v>*</v>
          </cell>
          <cell r="F467">
            <v>1</v>
          </cell>
          <cell r="G467">
            <v>0</v>
          </cell>
          <cell r="H467">
            <v>0</v>
          </cell>
        </row>
        <row r="468">
          <cell r="A468">
            <v>2234</v>
          </cell>
          <cell r="B468" t="str">
            <v>Moyen</v>
          </cell>
          <cell r="D468" t="str">
            <v>*</v>
          </cell>
          <cell r="F468">
            <v>1</v>
          </cell>
          <cell r="G468">
            <v>0</v>
          </cell>
          <cell r="H468">
            <v>21253</v>
          </cell>
        </row>
        <row r="469">
          <cell r="A469">
            <v>2236</v>
          </cell>
          <cell r="B469" t="str">
            <v>Moyen</v>
          </cell>
          <cell r="D469" t="str">
            <v>*</v>
          </cell>
          <cell r="F469">
            <v>1</v>
          </cell>
          <cell r="G469">
            <v>0</v>
          </cell>
          <cell r="H469">
            <v>0</v>
          </cell>
        </row>
        <row r="470">
          <cell r="A470">
            <v>2237</v>
          </cell>
          <cell r="B470" t="str">
            <v>Moyen</v>
          </cell>
          <cell r="D470" t="str">
            <v>*</v>
          </cell>
          <cell r="F470">
            <v>1</v>
          </cell>
          <cell r="G470">
            <v>0</v>
          </cell>
          <cell r="H470">
            <v>133710</v>
          </cell>
        </row>
        <row r="471">
          <cell r="A471">
            <v>2241</v>
          </cell>
          <cell r="B471" t="str">
            <v>Moyen</v>
          </cell>
          <cell r="D471" t="str">
            <v>*</v>
          </cell>
          <cell r="F471">
            <v>1</v>
          </cell>
          <cell r="G471">
            <v>0</v>
          </cell>
          <cell r="H471">
            <v>24106</v>
          </cell>
        </row>
        <row r="472">
          <cell r="A472">
            <v>2242</v>
          </cell>
          <cell r="B472" t="str">
            <v>Moyen</v>
          </cell>
          <cell r="D472" t="str">
            <v>*</v>
          </cell>
          <cell r="F472">
            <v>1</v>
          </cell>
          <cell r="G472">
            <v>0</v>
          </cell>
          <cell r="H472">
            <v>906</v>
          </cell>
        </row>
        <row r="473">
          <cell r="A473">
            <v>2243</v>
          </cell>
          <cell r="B473" t="str">
            <v>Moyen</v>
          </cell>
          <cell r="D473" t="str">
            <v>*</v>
          </cell>
          <cell r="F473">
            <v>1</v>
          </cell>
          <cell r="G473">
            <v>0</v>
          </cell>
          <cell r="H473">
            <v>4279</v>
          </cell>
        </row>
        <row r="474">
          <cell r="A474">
            <v>2244</v>
          </cell>
          <cell r="B474" t="str">
            <v>Moyen</v>
          </cell>
          <cell r="D474" t="str">
            <v>*</v>
          </cell>
          <cell r="F474">
            <v>1</v>
          </cell>
          <cell r="G474">
            <v>0</v>
          </cell>
          <cell r="H474">
            <v>0</v>
          </cell>
        </row>
        <row r="475">
          <cell r="A475">
            <v>2245</v>
          </cell>
          <cell r="B475" t="str">
            <v>Moyen</v>
          </cell>
          <cell r="D475" t="str">
            <v>*</v>
          </cell>
          <cell r="F475">
            <v>1</v>
          </cell>
          <cell r="G475">
            <v>0</v>
          </cell>
          <cell r="H475">
            <v>0</v>
          </cell>
        </row>
        <row r="476">
          <cell r="A476">
            <v>2246</v>
          </cell>
          <cell r="B476" t="str">
            <v>Moyen</v>
          </cell>
          <cell r="D476" t="str">
            <v>*</v>
          </cell>
          <cell r="F476">
            <v>1</v>
          </cell>
          <cell r="G476">
            <v>0</v>
          </cell>
          <cell r="H476">
            <v>3142</v>
          </cell>
        </row>
        <row r="477">
          <cell r="A477">
            <v>2247</v>
          </cell>
          <cell r="B477" t="str">
            <v>Moyen</v>
          </cell>
          <cell r="D477" t="str">
            <v>*</v>
          </cell>
          <cell r="F477">
            <v>1</v>
          </cell>
          <cell r="G477">
            <v>0</v>
          </cell>
          <cell r="H477">
            <v>0</v>
          </cell>
        </row>
        <row r="478">
          <cell r="A478">
            <v>2248</v>
          </cell>
          <cell r="B478" t="str">
            <v>Moyen</v>
          </cell>
          <cell r="D478" t="str">
            <v>*</v>
          </cell>
          <cell r="F478">
            <v>1</v>
          </cell>
          <cell r="G478">
            <v>0</v>
          </cell>
          <cell r="H478">
            <v>150</v>
          </cell>
        </row>
        <row r="479">
          <cell r="A479">
            <v>2249</v>
          </cell>
          <cell r="B479" t="str">
            <v>Moyen</v>
          </cell>
          <cell r="D479" t="str">
            <v>*</v>
          </cell>
          <cell r="F479">
            <v>1</v>
          </cell>
          <cell r="G479">
            <v>0</v>
          </cell>
          <cell r="H479">
            <v>172.24795737144001</v>
          </cell>
        </row>
        <row r="480">
          <cell r="A480">
            <v>2250</v>
          </cell>
          <cell r="B480" t="str">
            <v>Moyen</v>
          </cell>
          <cell r="D480" t="str">
            <v>*</v>
          </cell>
          <cell r="F480">
            <v>1</v>
          </cell>
          <cell r="G480">
            <v>0</v>
          </cell>
          <cell r="H480">
            <v>0</v>
          </cell>
        </row>
        <row r="481">
          <cell r="A481">
            <v>2251</v>
          </cell>
          <cell r="B481" t="str">
            <v>Moyen</v>
          </cell>
          <cell r="D481" t="str">
            <v>*</v>
          </cell>
          <cell r="F481">
            <v>1</v>
          </cell>
          <cell r="G481">
            <v>0</v>
          </cell>
          <cell r="H481">
            <v>57908</v>
          </cell>
        </row>
        <row r="482">
          <cell r="A482">
            <v>2253</v>
          </cell>
          <cell r="B482" t="str">
            <v>Moyen</v>
          </cell>
          <cell r="D482" t="str">
            <v>*</v>
          </cell>
          <cell r="F482">
            <v>1</v>
          </cell>
          <cell r="G482">
            <v>0</v>
          </cell>
          <cell r="H482">
            <v>0</v>
          </cell>
        </row>
        <row r="483">
          <cell r="A483">
            <v>2254</v>
          </cell>
          <cell r="B483" t="str">
            <v>Moyen</v>
          </cell>
          <cell r="D483" t="str">
            <v>*</v>
          </cell>
          <cell r="F483">
            <v>1</v>
          </cell>
          <cell r="G483">
            <v>0</v>
          </cell>
          <cell r="H483">
            <v>0</v>
          </cell>
        </row>
        <row r="484">
          <cell r="A484">
            <v>2255</v>
          </cell>
          <cell r="B484" t="str">
            <v>Moyen</v>
          </cell>
          <cell r="D484" t="str">
            <v>*</v>
          </cell>
          <cell r="F484">
            <v>1</v>
          </cell>
          <cell r="G484">
            <v>0</v>
          </cell>
          <cell r="H484">
            <v>0</v>
          </cell>
        </row>
        <row r="485">
          <cell r="A485">
            <v>2256</v>
          </cell>
          <cell r="B485" t="str">
            <v>Moyen</v>
          </cell>
          <cell r="D485" t="str">
            <v>*</v>
          </cell>
          <cell r="F485">
            <v>1</v>
          </cell>
          <cell r="G485">
            <v>0</v>
          </cell>
          <cell r="H485">
            <v>369346</v>
          </cell>
        </row>
        <row r="486">
          <cell r="A486">
            <v>2257</v>
          </cell>
          <cell r="B486" t="str">
            <v>Moyen</v>
          </cell>
          <cell r="D486" t="str">
            <v>*</v>
          </cell>
          <cell r="F486">
            <v>1</v>
          </cell>
          <cell r="G486">
            <v>0</v>
          </cell>
          <cell r="H486">
            <v>108889</v>
          </cell>
        </row>
        <row r="487">
          <cell r="A487">
            <v>2258</v>
          </cell>
          <cell r="B487" t="str">
            <v>Moyen</v>
          </cell>
          <cell r="D487" t="str">
            <v>*</v>
          </cell>
          <cell r="F487">
            <v>1</v>
          </cell>
          <cell r="G487">
            <v>0</v>
          </cell>
          <cell r="H487">
            <v>16399</v>
          </cell>
        </row>
        <row r="488">
          <cell r="A488">
            <v>2259</v>
          </cell>
          <cell r="B488" t="str">
            <v>Moyen</v>
          </cell>
          <cell r="D488" t="str">
            <v>*</v>
          </cell>
          <cell r="F488">
            <v>1</v>
          </cell>
          <cell r="G488">
            <v>0</v>
          </cell>
          <cell r="H488">
            <v>137911.67946499999</v>
          </cell>
        </row>
        <row r="489">
          <cell r="A489">
            <v>2260</v>
          </cell>
          <cell r="B489" t="str">
            <v>Moyen</v>
          </cell>
          <cell r="D489" t="str">
            <v>*</v>
          </cell>
          <cell r="F489">
            <v>1</v>
          </cell>
          <cell r="G489">
            <v>0</v>
          </cell>
          <cell r="H489">
            <v>0</v>
          </cell>
        </row>
        <row r="490">
          <cell r="A490">
            <v>2261</v>
          </cell>
          <cell r="B490" t="str">
            <v>Moyen</v>
          </cell>
          <cell r="D490" t="str">
            <v>*</v>
          </cell>
          <cell r="F490">
            <v>1</v>
          </cell>
          <cell r="G490">
            <v>0</v>
          </cell>
          <cell r="H490">
            <v>0</v>
          </cell>
        </row>
        <row r="491">
          <cell r="A491">
            <v>2262</v>
          </cell>
          <cell r="B491" t="str">
            <v>Moyen</v>
          </cell>
          <cell r="D491" t="str">
            <v>*</v>
          </cell>
          <cell r="F491">
            <v>1</v>
          </cell>
          <cell r="G491">
            <v>0</v>
          </cell>
          <cell r="H491">
            <v>104337</v>
          </cell>
        </row>
        <row r="492">
          <cell r="A492">
            <v>2263</v>
          </cell>
          <cell r="B492" t="str">
            <v>Moyen</v>
          </cell>
          <cell r="D492" t="str">
            <v>*</v>
          </cell>
          <cell r="F492">
            <v>1</v>
          </cell>
          <cell r="G492">
            <v>0</v>
          </cell>
          <cell r="H492">
            <v>577112.35149999999</v>
          </cell>
        </row>
        <row r="493">
          <cell r="A493">
            <v>2264</v>
          </cell>
          <cell r="B493" t="str">
            <v>Moyen</v>
          </cell>
          <cell r="D493" t="str">
            <v>*</v>
          </cell>
          <cell r="F493">
            <v>1</v>
          </cell>
          <cell r="G493">
            <v>0</v>
          </cell>
          <cell r="H493">
            <v>170404</v>
          </cell>
        </row>
        <row r="494">
          <cell r="A494">
            <v>2266</v>
          </cell>
          <cell r="B494" t="str">
            <v>Moyen</v>
          </cell>
          <cell r="D494" t="str">
            <v>*</v>
          </cell>
          <cell r="F494">
            <v>1</v>
          </cell>
          <cell r="G494">
            <v>0</v>
          </cell>
          <cell r="H494">
            <v>237456</v>
          </cell>
        </row>
        <row r="495">
          <cell r="A495">
            <v>2267</v>
          </cell>
          <cell r="B495" t="str">
            <v>Moyen</v>
          </cell>
          <cell r="D495" t="str">
            <v>*</v>
          </cell>
          <cell r="F495">
            <v>1</v>
          </cell>
          <cell r="G495">
            <v>0</v>
          </cell>
          <cell r="H495">
            <v>1</v>
          </cell>
        </row>
        <row r="496">
          <cell r="A496">
            <v>2268</v>
          </cell>
          <cell r="B496" t="str">
            <v>Moyen</v>
          </cell>
          <cell r="D496" t="str">
            <v>*</v>
          </cell>
          <cell r="F496">
            <v>1</v>
          </cell>
          <cell r="G496">
            <v>0</v>
          </cell>
          <cell r="H496">
            <v>0</v>
          </cell>
        </row>
        <row r="497">
          <cell r="A497">
            <v>2271</v>
          </cell>
          <cell r="B497" t="str">
            <v>Moyen</v>
          </cell>
          <cell r="D497" t="str">
            <v>*</v>
          </cell>
          <cell r="F497">
            <v>1</v>
          </cell>
          <cell r="G497">
            <v>0</v>
          </cell>
          <cell r="H497">
            <v>108889</v>
          </cell>
        </row>
        <row r="498">
          <cell r="A498">
            <v>2280</v>
          </cell>
          <cell r="B498" t="str">
            <v>Moyen</v>
          </cell>
          <cell r="D498" t="str">
            <v>*</v>
          </cell>
          <cell r="F498">
            <v>1</v>
          </cell>
          <cell r="G498">
            <v>0</v>
          </cell>
          <cell r="H498">
            <v>180239</v>
          </cell>
        </row>
        <row r="499">
          <cell r="A499">
            <v>2281</v>
          </cell>
          <cell r="B499" t="str">
            <v>Moyen</v>
          </cell>
          <cell r="D499" t="str">
            <v>*</v>
          </cell>
          <cell r="F499">
            <v>1</v>
          </cell>
          <cell r="G499">
            <v>0</v>
          </cell>
          <cell r="H499">
            <v>20663</v>
          </cell>
        </row>
        <row r="500">
          <cell r="A500">
            <v>2282</v>
          </cell>
          <cell r="B500" t="str">
            <v>Moyen</v>
          </cell>
          <cell r="D500" t="str">
            <v>*</v>
          </cell>
          <cell r="F500">
            <v>1</v>
          </cell>
          <cell r="G500">
            <v>0</v>
          </cell>
          <cell r="H500">
            <v>203367.93006993001</v>
          </cell>
        </row>
        <row r="501">
          <cell r="A501">
            <v>2283</v>
          </cell>
          <cell r="B501" t="str">
            <v>Moyen</v>
          </cell>
          <cell r="D501" t="str">
            <v>*</v>
          </cell>
          <cell r="F501">
            <v>1</v>
          </cell>
          <cell r="G501">
            <v>0</v>
          </cell>
          <cell r="H501">
            <v>0</v>
          </cell>
        </row>
        <row r="502">
          <cell r="A502">
            <v>2284</v>
          </cell>
          <cell r="B502" t="str">
            <v>Moyen</v>
          </cell>
          <cell r="D502" t="str">
            <v>*</v>
          </cell>
          <cell r="F502">
            <v>1</v>
          </cell>
          <cell r="G502">
            <v>0</v>
          </cell>
          <cell r="H502">
            <v>160000</v>
          </cell>
        </row>
        <row r="503">
          <cell r="A503">
            <v>2285</v>
          </cell>
          <cell r="B503" t="str">
            <v>Moyen</v>
          </cell>
          <cell r="D503" t="str">
            <v>*</v>
          </cell>
          <cell r="F503">
            <v>1</v>
          </cell>
          <cell r="G503">
            <v>0</v>
          </cell>
          <cell r="H503">
            <v>0</v>
          </cell>
        </row>
        <row r="504">
          <cell r="A504">
            <v>2286</v>
          </cell>
          <cell r="B504" t="str">
            <v>Moyen</v>
          </cell>
          <cell r="D504" t="str">
            <v>*</v>
          </cell>
          <cell r="F504">
            <v>1</v>
          </cell>
          <cell r="G504">
            <v>0</v>
          </cell>
          <cell r="H504">
            <v>159715.71660000001</v>
          </cell>
        </row>
        <row r="505">
          <cell r="A505">
            <v>2287</v>
          </cell>
          <cell r="B505" t="str">
            <v>Moyen</v>
          </cell>
          <cell r="D505" t="str">
            <v>*</v>
          </cell>
          <cell r="F505">
            <v>1</v>
          </cell>
          <cell r="G505">
            <v>0</v>
          </cell>
          <cell r="H505">
            <v>58151</v>
          </cell>
        </row>
        <row r="506">
          <cell r="A506">
            <v>2288</v>
          </cell>
          <cell r="B506" t="str">
            <v>Moyen</v>
          </cell>
          <cell r="D506" t="str">
            <v>*</v>
          </cell>
          <cell r="F506">
            <v>1</v>
          </cell>
          <cell r="G506">
            <v>0</v>
          </cell>
          <cell r="H506">
            <v>169219.51069166599</v>
          </cell>
        </row>
        <row r="507">
          <cell r="A507">
            <v>2289</v>
          </cell>
          <cell r="B507" t="str">
            <v>Moyen</v>
          </cell>
          <cell r="D507" t="str">
            <v>*</v>
          </cell>
          <cell r="F507">
            <v>1</v>
          </cell>
          <cell r="G507">
            <v>0</v>
          </cell>
          <cell r="H507">
            <v>63365</v>
          </cell>
        </row>
        <row r="508">
          <cell r="A508">
            <v>2290</v>
          </cell>
          <cell r="B508" t="str">
            <v>Moyen</v>
          </cell>
          <cell r="D508" t="str">
            <v>*</v>
          </cell>
          <cell r="F508">
            <v>1</v>
          </cell>
          <cell r="G508">
            <v>0</v>
          </cell>
          <cell r="H508">
            <v>65596</v>
          </cell>
        </row>
        <row r="509">
          <cell r="A509">
            <v>2291</v>
          </cell>
          <cell r="B509" t="str">
            <v>Moyen</v>
          </cell>
          <cell r="D509" t="str">
            <v>*</v>
          </cell>
          <cell r="F509">
            <v>1</v>
          </cell>
          <cell r="G509">
            <v>0</v>
          </cell>
          <cell r="H509">
            <v>152637.836555555</v>
          </cell>
        </row>
        <row r="510">
          <cell r="A510">
            <v>2292</v>
          </cell>
          <cell r="B510" t="str">
            <v>Moyen</v>
          </cell>
          <cell r="D510" t="str">
            <v>*</v>
          </cell>
          <cell r="F510">
            <v>1</v>
          </cell>
          <cell r="G510">
            <v>0</v>
          </cell>
          <cell r="H510">
            <v>373938</v>
          </cell>
        </row>
        <row r="511">
          <cell r="A511">
            <v>2293</v>
          </cell>
          <cell r="B511" t="str">
            <v>Moyen</v>
          </cell>
          <cell r="D511" t="str">
            <v>*</v>
          </cell>
          <cell r="F511">
            <v>1</v>
          </cell>
          <cell r="G511">
            <v>0</v>
          </cell>
          <cell r="H511">
            <v>0</v>
          </cell>
        </row>
        <row r="512">
          <cell r="A512">
            <v>2294</v>
          </cell>
          <cell r="B512" t="str">
            <v>Moyen</v>
          </cell>
          <cell r="D512" t="str">
            <v>*</v>
          </cell>
          <cell r="F512">
            <v>1</v>
          </cell>
          <cell r="G512">
            <v>0</v>
          </cell>
          <cell r="H512">
            <v>0</v>
          </cell>
        </row>
        <row r="513">
          <cell r="A513">
            <v>2295</v>
          </cell>
          <cell r="B513" t="str">
            <v>Moyen</v>
          </cell>
          <cell r="D513" t="str">
            <v>*</v>
          </cell>
          <cell r="F513">
            <v>1</v>
          </cell>
          <cell r="G513">
            <v>0</v>
          </cell>
          <cell r="H513">
            <v>808</v>
          </cell>
        </row>
        <row r="514">
          <cell r="A514">
            <v>2296</v>
          </cell>
          <cell r="B514" t="str">
            <v>Moyen</v>
          </cell>
          <cell r="D514" t="str">
            <v>*</v>
          </cell>
          <cell r="F514">
            <v>1</v>
          </cell>
          <cell r="G514">
            <v>0</v>
          </cell>
          <cell r="H514">
            <v>0</v>
          </cell>
        </row>
        <row r="515">
          <cell r="A515">
            <v>2297</v>
          </cell>
          <cell r="B515" t="str">
            <v>Moyen</v>
          </cell>
          <cell r="D515" t="str">
            <v>*</v>
          </cell>
          <cell r="F515">
            <v>1</v>
          </cell>
          <cell r="G515">
            <v>0</v>
          </cell>
          <cell r="H515">
            <v>34061.916054328998</v>
          </cell>
        </row>
        <row r="516">
          <cell r="A516">
            <v>2298</v>
          </cell>
          <cell r="B516" t="str">
            <v>Moyen</v>
          </cell>
          <cell r="D516" t="str">
            <v>*</v>
          </cell>
          <cell r="F516">
            <v>1</v>
          </cell>
          <cell r="G516">
            <v>0</v>
          </cell>
          <cell r="H516">
            <v>35855</v>
          </cell>
        </row>
        <row r="517">
          <cell r="A517">
            <v>2300</v>
          </cell>
          <cell r="B517" t="str">
            <v>Moyen</v>
          </cell>
          <cell r="D517" t="str">
            <v>*</v>
          </cell>
          <cell r="F517">
            <v>1</v>
          </cell>
          <cell r="G517">
            <v>0</v>
          </cell>
          <cell r="H517">
            <v>0</v>
          </cell>
        </row>
        <row r="518">
          <cell r="A518">
            <v>2301</v>
          </cell>
          <cell r="B518" t="str">
            <v>Moyen</v>
          </cell>
          <cell r="D518" t="str">
            <v>*</v>
          </cell>
          <cell r="F518">
            <v>1</v>
          </cell>
          <cell r="G518">
            <v>0</v>
          </cell>
          <cell r="H518">
            <v>158992</v>
          </cell>
        </row>
        <row r="519">
          <cell r="A519">
            <v>2302</v>
          </cell>
          <cell r="B519" t="str">
            <v>Moyen</v>
          </cell>
          <cell r="D519" t="str">
            <v>*</v>
          </cell>
          <cell r="F519">
            <v>1</v>
          </cell>
          <cell r="G519">
            <v>0</v>
          </cell>
          <cell r="H519">
            <v>92617</v>
          </cell>
        </row>
        <row r="520">
          <cell r="A520">
            <v>2305</v>
          </cell>
          <cell r="B520" t="str">
            <v>Moyen</v>
          </cell>
          <cell r="D520" t="str">
            <v>*</v>
          </cell>
          <cell r="F520">
            <v>1</v>
          </cell>
          <cell r="G520">
            <v>0</v>
          </cell>
          <cell r="H520">
            <v>384216</v>
          </cell>
        </row>
        <row r="521">
          <cell r="A521">
            <v>2306</v>
          </cell>
          <cell r="B521" t="str">
            <v>Moyen</v>
          </cell>
          <cell r="D521" t="str">
            <v>*</v>
          </cell>
          <cell r="F521">
            <v>1</v>
          </cell>
          <cell r="G521">
            <v>0</v>
          </cell>
          <cell r="H521">
            <v>79141.212050000002</v>
          </cell>
        </row>
        <row r="522">
          <cell r="A522">
            <v>2311</v>
          </cell>
          <cell r="B522" t="str">
            <v>Moyen</v>
          </cell>
          <cell r="D522" t="str">
            <v>*</v>
          </cell>
          <cell r="F522">
            <v>1</v>
          </cell>
          <cell r="G522">
            <v>0</v>
          </cell>
          <cell r="H522">
            <v>14305</v>
          </cell>
        </row>
        <row r="523">
          <cell r="A523">
            <v>2312</v>
          </cell>
          <cell r="B523" t="str">
            <v>Moyen</v>
          </cell>
          <cell r="D523" t="str">
            <v>*</v>
          </cell>
          <cell r="F523">
            <v>1</v>
          </cell>
          <cell r="G523">
            <v>0</v>
          </cell>
          <cell r="H523">
            <v>0</v>
          </cell>
        </row>
        <row r="524">
          <cell r="A524">
            <v>2322</v>
          </cell>
          <cell r="B524" t="str">
            <v>Moyen</v>
          </cell>
          <cell r="D524" t="str">
            <v>*</v>
          </cell>
          <cell r="F524">
            <v>1</v>
          </cell>
          <cell r="G524">
            <v>0</v>
          </cell>
          <cell r="H524">
            <v>0</v>
          </cell>
        </row>
        <row r="525">
          <cell r="A525">
            <v>2323</v>
          </cell>
          <cell r="B525" t="str">
            <v>Moyen</v>
          </cell>
          <cell r="D525" t="str">
            <v>*</v>
          </cell>
          <cell r="F525">
            <v>1</v>
          </cell>
          <cell r="G525">
            <v>0</v>
          </cell>
          <cell r="H525">
            <v>201674</v>
          </cell>
        </row>
        <row r="526">
          <cell r="A526">
            <v>2324</v>
          </cell>
          <cell r="B526" t="str">
            <v>Moyen</v>
          </cell>
          <cell r="D526" t="str">
            <v>*</v>
          </cell>
          <cell r="F526">
            <v>1</v>
          </cell>
          <cell r="G526">
            <v>0</v>
          </cell>
          <cell r="H526">
            <v>254</v>
          </cell>
        </row>
        <row r="527">
          <cell r="A527">
            <v>2325</v>
          </cell>
          <cell r="B527" t="str">
            <v>Moyen</v>
          </cell>
          <cell r="D527" t="str">
            <v>*</v>
          </cell>
          <cell r="F527">
            <v>1</v>
          </cell>
          <cell r="G527">
            <v>0</v>
          </cell>
          <cell r="H527">
            <v>0</v>
          </cell>
        </row>
        <row r="528">
          <cell r="A528">
            <v>2326</v>
          </cell>
          <cell r="B528" t="str">
            <v>Moyen</v>
          </cell>
          <cell r="D528" t="str">
            <v>*</v>
          </cell>
          <cell r="F528">
            <v>1</v>
          </cell>
          <cell r="G528">
            <v>0</v>
          </cell>
          <cell r="H528">
            <v>128380</v>
          </cell>
        </row>
        <row r="529">
          <cell r="A529">
            <v>2327</v>
          </cell>
          <cell r="B529" t="str">
            <v>Moyen</v>
          </cell>
          <cell r="D529" t="str">
            <v>*</v>
          </cell>
          <cell r="F529">
            <v>1</v>
          </cell>
          <cell r="G529">
            <v>0</v>
          </cell>
          <cell r="H529">
            <v>175760.99457485901</v>
          </cell>
        </row>
        <row r="530">
          <cell r="A530">
            <v>2328</v>
          </cell>
          <cell r="B530" t="str">
            <v>Moyen</v>
          </cell>
          <cell r="D530" t="str">
            <v>*</v>
          </cell>
          <cell r="F530">
            <v>1</v>
          </cell>
          <cell r="G530">
            <v>0</v>
          </cell>
          <cell r="H530">
            <v>1</v>
          </cell>
        </row>
        <row r="531">
          <cell r="A531">
            <v>2329</v>
          </cell>
          <cell r="B531" t="str">
            <v>Moyen</v>
          </cell>
          <cell r="D531" t="str">
            <v>*</v>
          </cell>
          <cell r="F531">
            <v>1</v>
          </cell>
          <cell r="G531">
            <v>0</v>
          </cell>
          <cell r="H531">
            <v>88160.620800000004</v>
          </cell>
        </row>
        <row r="532">
          <cell r="A532">
            <v>2330</v>
          </cell>
          <cell r="B532" t="str">
            <v>Moyen</v>
          </cell>
          <cell r="D532" t="str">
            <v>*</v>
          </cell>
          <cell r="F532">
            <v>1</v>
          </cell>
          <cell r="G532">
            <v>0</v>
          </cell>
          <cell r="H532">
            <v>0</v>
          </cell>
        </row>
        <row r="533">
          <cell r="A533">
            <v>2332</v>
          </cell>
          <cell r="B533" t="str">
            <v>Moyen</v>
          </cell>
          <cell r="D533" t="str">
            <v>*</v>
          </cell>
          <cell r="F533">
            <v>1</v>
          </cell>
          <cell r="G533">
            <v>0</v>
          </cell>
          <cell r="H533">
            <v>121075</v>
          </cell>
        </row>
        <row r="534">
          <cell r="A534">
            <v>2333</v>
          </cell>
          <cell r="B534" t="str">
            <v>Moyen</v>
          </cell>
          <cell r="D534" t="str">
            <v>*</v>
          </cell>
          <cell r="F534">
            <v>1</v>
          </cell>
          <cell r="G534">
            <v>0</v>
          </cell>
          <cell r="H534">
            <v>0</v>
          </cell>
        </row>
        <row r="535">
          <cell r="A535">
            <v>2335</v>
          </cell>
          <cell r="B535" t="str">
            <v>Moyen</v>
          </cell>
          <cell r="D535" t="str">
            <v>*</v>
          </cell>
          <cell r="F535">
            <v>1</v>
          </cell>
          <cell r="G535">
            <v>0</v>
          </cell>
          <cell r="H535">
            <v>0</v>
          </cell>
        </row>
        <row r="536">
          <cell r="A536">
            <v>2336</v>
          </cell>
          <cell r="B536" t="str">
            <v>Moyen</v>
          </cell>
          <cell r="D536" t="str">
            <v>*</v>
          </cell>
          <cell r="F536">
            <v>1</v>
          </cell>
          <cell r="G536">
            <v>0</v>
          </cell>
          <cell r="H536">
            <v>0</v>
          </cell>
        </row>
        <row r="537">
          <cell r="A537">
            <v>2337</v>
          </cell>
          <cell r="B537" t="str">
            <v>Moyen</v>
          </cell>
          <cell r="D537" t="str">
            <v>*</v>
          </cell>
          <cell r="F537">
            <v>1</v>
          </cell>
          <cell r="G537">
            <v>0</v>
          </cell>
          <cell r="H537">
            <v>61858.6009969796</v>
          </cell>
        </row>
        <row r="538">
          <cell r="A538">
            <v>2338</v>
          </cell>
          <cell r="B538" t="str">
            <v>Moyen</v>
          </cell>
          <cell r="D538" t="str">
            <v>*</v>
          </cell>
          <cell r="F538">
            <v>1</v>
          </cell>
          <cell r="G538">
            <v>0</v>
          </cell>
          <cell r="H538">
            <v>54504</v>
          </cell>
        </row>
        <row r="539">
          <cell r="A539">
            <v>2339</v>
          </cell>
          <cell r="B539" t="str">
            <v>Moyen</v>
          </cell>
          <cell r="D539" t="str">
            <v>*</v>
          </cell>
          <cell r="F539">
            <v>1</v>
          </cell>
          <cell r="G539">
            <v>0</v>
          </cell>
          <cell r="H539">
            <v>0</v>
          </cell>
        </row>
        <row r="540">
          <cell r="A540">
            <v>2340</v>
          </cell>
          <cell r="B540" t="str">
            <v>Moyen</v>
          </cell>
          <cell r="D540" t="str">
            <v>*</v>
          </cell>
          <cell r="F540">
            <v>1</v>
          </cell>
          <cell r="G540">
            <v>0</v>
          </cell>
          <cell r="H540">
            <v>0</v>
          </cell>
        </row>
        <row r="541">
          <cell r="A541">
            <v>2341</v>
          </cell>
          <cell r="B541" t="str">
            <v>Moyen</v>
          </cell>
          <cell r="D541" t="str">
            <v>*</v>
          </cell>
          <cell r="F541">
            <v>1</v>
          </cell>
          <cell r="G541">
            <v>0</v>
          </cell>
          <cell r="H541">
            <v>0</v>
          </cell>
        </row>
        <row r="542">
          <cell r="A542">
            <v>2345</v>
          </cell>
          <cell r="B542" t="str">
            <v>Moyen</v>
          </cell>
          <cell r="D542" t="str">
            <v>*</v>
          </cell>
          <cell r="F542">
            <v>1</v>
          </cell>
          <cell r="G542">
            <v>0</v>
          </cell>
          <cell r="H542">
            <v>0</v>
          </cell>
        </row>
        <row r="543">
          <cell r="A543">
            <v>2346</v>
          </cell>
          <cell r="B543" t="str">
            <v>Moyen</v>
          </cell>
          <cell r="D543" t="str">
            <v>*</v>
          </cell>
          <cell r="F543">
            <v>1</v>
          </cell>
          <cell r="G543">
            <v>0</v>
          </cell>
          <cell r="H543">
            <v>0</v>
          </cell>
        </row>
        <row r="544">
          <cell r="A544">
            <v>2347</v>
          </cell>
          <cell r="B544" t="str">
            <v>Moyen</v>
          </cell>
          <cell r="D544" t="str">
            <v>*</v>
          </cell>
          <cell r="F544">
            <v>1</v>
          </cell>
          <cell r="G544">
            <v>0</v>
          </cell>
          <cell r="H544">
            <v>49719.527921282701</v>
          </cell>
        </row>
        <row r="545">
          <cell r="A545">
            <v>2348</v>
          </cell>
          <cell r="B545" t="str">
            <v>Moyen</v>
          </cell>
          <cell r="D545" t="str">
            <v>*</v>
          </cell>
          <cell r="F545">
            <v>1</v>
          </cell>
          <cell r="G545">
            <v>0</v>
          </cell>
          <cell r="H545">
            <v>0</v>
          </cell>
        </row>
        <row r="546">
          <cell r="A546">
            <v>2349</v>
          </cell>
          <cell r="B546" t="str">
            <v>Moyen</v>
          </cell>
          <cell r="D546" t="str">
            <v>*</v>
          </cell>
          <cell r="F546">
            <v>1</v>
          </cell>
          <cell r="G546">
            <v>0</v>
          </cell>
          <cell r="H546">
            <v>72952.237500000003</v>
          </cell>
        </row>
        <row r="547">
          <cell r="A547">
            <v>2350</v>
          </cell>
          <cell r="B547" t="str">
            <v>Moyen</v>
          </cell>
          <cell r="D547" t="str">
            <v>*</v>
          </cell>
          <cell r="F547">
            <v>1</v>
          </cell>
          <cell r="G547">
            <v>0</v>
          </cell>
          <cell r="H547">
            <v>0</v>
          </cell>
        </row>
        <row r="548">
          <cell r="A548">
            <v>2356</v>
          </cell>
          <cell r="B548" t="str">
            <v>Moyen</v>
          </cell>
          <cell r="D548" t="str">
            <v>*</v>
          </cell>
          <cell r="F548">
            <v>1</v>
          </cell>
          <cell r="G548">
            <v>0</v>
          </cell>
          <cell r="H548">
            <v>0</v>
          </cell>
        </row>
        <row r="549">
          <cell r="A549">
            <v>2363</v>
          </cell>
          <cell r="B549" t="str">
            <v>Moyen</v>
          </cell>
          <cell r="D549" t="str">
            <v>*</v>
          </cell>
          <cell r="F549">
            <v>1</v>
          </cell>
          <cell r="G549">
            <v>0</v>
          </cell>
          <cell r="H549">
            <v>93698</v>
          </cell>
        </row>
        <row r="550">
          <cell r="A550">
            <v>2364</v>
          </cell>
          <cell r="B550" t="str">
            <v>Moyen</v>
          </cell>
          <cell r="D550" t="str">
            <v>*</v>
          </cell>
          <cell r="F550">
            <v>1</v>
          </cell>
          <cell r="G550">
            <v>0</v>
          </cell>
          <cell r="H550">
            <v>0</v>
          </cell>
        </row>
        <row r="551">
          <cell r="A551">
            <v>2365</v>
          </cell>
          <cell r="B551" t="str">
            <v>Moyen</v>
          </cell>
          <cell r="D551" t="str">
            <v>*</v>
          </cell>
          <cell r="F551">
            <v>1</v>
          </cell>
          <cell r="G551">
            <v>0</v>
          </cell>
          <cell r="H551">
            <v>0</v>
          </cell>
        </row>
        <row r="552">
          <cell r="A552">
            <v>2366</v>
          </cell>
          <cell r="B552" t="str">
            <v>Moyen</v>
          </cell>
          <cell r="D552" t="str">
            <v>*</v>
          </cell>
          <cell r="F552">
            <v>1</v>
          </cell>
          <cell r="G552">
            <v>0</v>
          </cell>
          <cell r="H552">
            <v>1476</v>
          </cell>
        </row>
        <row r="553">
          <cell r="A553">
            <v>2367</v>
          </cell>
          <cell r="B553" t="str">
            <v>Moyen</v>
          </cell>
          <cell r="D553" t="str">
            <v>*</v>
          </cell>
          <cell r="F553">
            <v>1</v>
          </cell>
          <cell r="G553">
            <v>0</v>
          </cell>
          <cell r="H553">
            <v>49576</v>
          </cell>
        </row>
        <row r="554">
          <cell r="A554">
            <v>2368</v>
          </cell>
          <cell r="B554" t="str">
            <v>Moyen</v>
          </cell>
          <cell r="D554" t="str">
            <v>*</v>
          </cell>
          <cell r="F554">
            <v>1</v>
          </cell>
          <cell r="G554">
            <v>0</v>
          </cell>
          <cell r="H554">
            <v>444678</v>
          </cell>
        </row>
        <row r="555">
          <cell r="A555">
            <v>2370</v>
          </cell>
          <cell r="B555" t="str">
            <v>Moyen</v>
          </cell>
          <cell r="D555" t="str">
            <v>*</v>
          </cell>
          <cell r="F555">
            <v>1</v>
          </cell>
          <cell r="G555">
            <v>0</v>
          </cell>
          <cell r="H555">
            <v>0</v>
          </cell>
        </row>
        <row r="556">
          <cell r="A556">
            <v>2371</v>
          </cell>
          <cell r="B556" t="str">
            <v>Moyen</v>
          </cell>
          <cell r="D556" t="str">
            <v>*</v>
          </cell>
          <cell r="F556">
            <v>1</v>
          </cell>
          <cell r="G556">
            <v>0</v>
          </cell>
          <cell r="H556">
            <v>241</v>
          </cell>
        </row>
        <row r="557">
          <cell r="A557">
            <v>2372</v>
          </cell>
          <cell r="B557" t="str">
            <v>Moyen</v>
          </cell>
          <cell r="D557" t="str">
            <v>*</v>
          </cell>
          <cell r="F557">
            <v>1</v>
          </cell>
          <cell r="G557">
            <v>0</v>
          </cell>
          <cell r="H557">
            <v>0</v>
          </cell>
        </row>
        <row r="558">
          <cell r="A558">
            <v>2373</v>
          </cell>
          <cell r="B558" t="str">
            <v>Moyen</v>
          </cell>
          <cell r="D558" t="str">
            <v>*</v>
          </cell>
          <cell r="F558">
            <v>1</v>
          </cell>
          <cell r="G558">
            <v>0</v>
          </cell>
          <cell r="H558">
            <v>22500</v>
          </cell>
        </row>
        <row r="559">
          <cell r="A559">
            <v>2374</v>
          </cell>
          <cell r="B559" t="str">
            <v>Moyen</v>
          </cell>
          <cell r="D559" t="str">
            <v>*</v>
          </cell>
          <cell r="F559">
            <v>1</v>
          </cell>
          <cell r="G559">
            <v>0</v>
          </cell>
          <cell r="H559">
            <v>0</v>
          </cell>
        </row>
        <row r="560">
          <cell r="A560">
            <v>2378</v>
          </cell>
          <cell r="B560" t="str">
            <v>Moyen</v>
          </cell>
          <cell r="D560" t="str">
            <v>*</v>
          </cell>
          <cell r="F560">
            <v>1</v>
          </cell>
          <cell r="G560">
            <v>0</v>
          </cell>
          <cell r="H560">
            <v>0</v>
          </cell>
        </row>
        <row r="561">
          <cell r="A561">
            <v>2386</v>
          </cell>
          <cell r="B561" t="str">
            <v>Moyen</v>
          </cell>
          <cell r="D561" t="str">
            <v>*</v>
          </cell>
          <cell r="F561">
            <v>1</v>
          </cell>
          <cell r="G561">
            <v>0</v>
          </cell>
          <cell r="H561">
            <v>0</v>
          </cell>
        </row>
        <row r="562">
          <cell r="A562">
            <v>2387</v>
          </cell>
          <cell r="B562" t="str">
            <v>Moyen</v>
          </cell>
          <cell r="D562" t="str">
            <v>*</v>
          </cell>
          <cell r="F562">
            <v>1</v>
          </cell>
          <cell r="G562">
            <v>0</v>
          </cell>
          <cell r="H562">
            <v>361276</v>
          </cell>
        </row>
        <row r="563">
          <cell r="A563">
            <v>2389</v>
          </cell>
          <cell r="B563" t="str">
            <v>Moyen</v>
          </cell>
          <cell r="D563" t="str">
            <v>*</v>
          </cell>
          <cell r="F563">
            <v>1</v>
          </cell>
          <cell r="G563">
            <v>0</v>
          </cell>
          <cell r="H563">
            <v>25662</v>
          </cell>
        </row>
        <row r="564">
          <cell r="A564">
            <v>2390</v>
          </cell>
          <cell r="B564" t="str">
            <v>Moyen</v>
          </cell>
          <cell r="D564" t="str">
            <v>*</v>
          </cell>
          <cell r="F564">
            <v>1</v>
          </cell>
          <cell r="G564">
            <v>0</v>
          </cell>
          <cell r="H564">
            <v>162334</v>
          </cell>
        </row>
        <row r="565">
          <cell r="A565">
            <v>2391</v>
          </cell>
          <cell r="B565" t="str">
            <v>Moyen</v>
          </cell>
          <cell r="D565" t="str">
            <v>*</v>
          </cell>
          <cell r="F565">
            <v>1</v>
          </cell>
          <cell r="G565">
            <v>0</v>
          </cell>
          <cell r="H565">
            <v>1</v>
          </cell>
        </row>
        <row r="566">
          <cell r="A566">
            <v>2392</v>
          </cell>
          <cell r="B566" t="str">
            <v>Moyen</v>
          </cell>
          <cell r="D566" t="str">
            <v>*</v>
          </cell>
          <cell r="F566">
            <v>1</v>
          </cell>
          <cell r="G566">
            <v>0</v>
          </cell>
          <cell r="H566">
            <v>98393.55</v>
          </cell>
        </row>
        <row r="567">
          <cell r="A567">
            <v>2395</v>
          </cell>
          <cell r="B567" t="str">
            <v>Moyen</v>
          </cell>
          <cell r="D567" t="str">
            <v>*</v>
          </cell>
          <cell r="F567">
            <v>1</v>
          </cell>
          <cell r="G567">
            <v>0</v>
          </cell>
          <cell r="H567">
            <v>0</v>
          </cell>
        </row>
        <row r="568">
          <cell r="A568">
            <v>2396</v>
          </cell>
          <cell r="B568" t="str">
            <v>Moyen</v>
          </cell>
          <cell r="D568" t="str">
            <v>*</v>
          </cell>
          <cell r="F568">
            <v>1</v>
          </cell>
          <cell r="G568">
            <v>0</v>
          </cell>
          <cell r="H568">
            <v>0</v>
          </cell>
        </row>
        <row r="569">
          <cell r="A569">
            <v>2397</v>
          </cell>
          <cell r="B569" t="str">
            <v>Moyen</v>
          </cell>
          <cell r="D569" t="str">
            <v>*</v>
          </cell>
          <cell r="F569">
            <v>1</v>
          </cell>
          <cell r="G569">
            <v>0</v>
          </cell>
          <cell r="H569">
            <v>349094</v>
          </cell>
        </row>
        <row r="570">
          <cell r="A570">
            <v>2399</v>
          </cell>
          <cell r="B570" t="str">
            <v>Moyen</v>
          </cell>
          <cell r="D570" t="str">
            <v>*</v>
          </cell>
          <cell r="F570">
            <v>1</v>
          </cell>
          <cell r="G570">
            <v>0</v>
          </cell>
          <cell r="H570">
            <v>12000</v>
          </cell>
        </row>
        <row r="571">
          <cell r="A571">
            <v>2402</v>
          </cell>
          <cell r="B571" t="str">
            <v>Moyen</v>
          </cell>
          <cell r="D571" t="str">
            <v>*</v>
          </cell>
          <cell r="F571">
            <v>1</v>
          </cell>
          <cell r="G571">
            <v>0</v>
          </cell>
          <cell r="H571">
            <v>0</v>
          </cell>
        </row>
        <row r="572">
          <cell r="A572">
            <v>2408</v>
          </cell>
          <cell r="B572" t="str">
            <v>Moyen</v>
          </cell>
          <cell r="D572" t="str">
            <v>*</v>
          </cell>
          <cell r="F572">
            <v>1</v>
          </cell>
          <cell r="G572">
            <v>0</v>
          </cell>
          <cell r="H572">
            <v>7871</v>
          </cell>
        </row>
        <row r="573">
          <cell r="A573">
            <v>2411</v>
          </cell>
          <cell r="B573" t="str">
            <v>Moyen</v>
          </cell>
          <cell r="D573" t="str">
            <v>*</v>
          </cell>
          <cell r="F573">
            <v>1</v>
          </cell>
          <cell r="G573">
            <v>0</v>
          </cell>
          <cell r="H573">
            <v>130142</v>
          </cell>
        </row>
        <row r="574">
          <cell r="A574">
            <v>2412</v>
          </cell>
          <cell r="B574" t="str">
            <v>Moyen</v>
          </cell>
          <cell r="D574" t="str">
            <v>*</v>
          </cell>
          <cell r="F574">
            <v>1</v>
          </cell>
          <cell r="G574">
            <v>0</v>
          </cell>
          <cell r="H574">
            <v>302803</v>
          </cell>
        </row>
        <row r="575">
          <cell r="A575">
            <v>2413</v>
          </cell>
          <cell r="B575" t="str">
            <v>Moyen</v>
          </cell>
          <cell r="D575" t="str">
            <v>*</v>
          </cell>
          <cell r="F575">
            <v>1</v>
          </cell>
          <cell r="G575">
            <v>0</v>
          </cell>
          <cell r="H575">
            <v>0</v>
          </cell>
        </row>
        <row r="576">
          <cell r="A576">
            <v>2414</v>
          </cell>
          <cell r="B576" t="str">
            <v>Moyen</v>
          </cell>
          <cell r="D576" t="str">
            <v>*</v>
          </cell>
          <cell r="F576">
            <v>1</v>
          </cell>
          <cell r="G576">
            <v>0</v>
          </cell>
          <cell r="H576">
            <v>24493.434379999999</v>
          </cell>
        </row>
        <row r="577">
          <cell r="A577">
            <v>2453</v>
          </cell>
          <cell r="B577" t="str">
            <v>Moyen</v>
          </cell>
          <cell r="D577" t="str">
            <v>*</v>
          </cell>
          <cell r="F577">
            <v>1</v>
          </cell>
          <cell r="G577">
            <v>0</v>
          </cell>
          <cell r="H577">
            <v>766</v>
          </cell>
        </row>
        <row r="578">
          <cell r="A578">
            <v>2454</v>
          </cell>
          <cell r="B578" t="str">
            <v>Moyen</v>
          </cell>
          <cell r="D578" t="str">
            <v>*</v>
          </cell>
          <cell r="F578">
            <v>1</v>
          </cell>
          <cell r="G578">
            <v>0</v>
          </cell>
          <cell r="H578">
            <v>847</v>
          </cell>
        </row>
        <row r="579">
          <cell r="A579">
            <v>2455</v>
          </cell>
          <cell r="B579" t="str">
            <v>Moyen</v>
          </cell>
          <cell r="D579" t="str">
            <v>*</v>
          </cell>
          <cell r="F579">
            <v>1</v>
          </cell>
          <cell r="G579">
            <v>0</v>
          </cell>
          <cell r="H579">
            <v>1500</v>
          </cell>
        </row>
        <row r="580">
          <cell r="A580">
            <v>2456</v>
          </cell>
          <cell r="B580" t="str">
            <v>Moyen</v>
          </cell>
          <cell r="D580" t="str">
            <v>*</v>
          </cell>
          <cell r="F580">
            <v>1</v>
          </cell>
          <cell r="G580">
            <v>0</v>
          </cell>
          <cell r="H580">
            <v>0</v>
          </cell>
        </row>
        <row r="581">
          <cell r="A581">
            <v>2457</v>
          </cell>
          <cell r="B581" t="str">
            <v>Moyen</v>
          </cell>
          <cell r="D581" t="str">
            <v>*</v>
          </cell>
          <cell r="F581">
            <v>1</v>
          </cell>
          <cell r="G581">
            <v>0</v>
          </cell>
          <cell r="H581">
            <v>1</v>
          </cell>
        </row>
        <row r="582">
          <cell r="A582">
            <v>2458</v>
          </cell>
          <cell r="B582" t="str">
            <v>Moyen</v>
          </cell>
          <cell r="D582" t="str">
            <v>*</v>
          </cell>
          <cell r="F582">
            <v>1</v>
          </cell>
          <cell r="G582">
            <v>0</v>
          </cell>
          <cell r="H582">
            <v>700</v>
          </cell>
        </row>
        <row r="583">
          <cell r="A583">
            <v>2459</v>
          </cell>
          <cell r="B583" t="str">
            <v>Moyen</v>
          </cell>
          <cell r="D583" t="str">
            <v>*</v>
          </cell>
          <cell r="F583">
            <v>1</v>
          </cell>
          <cell r="G583">
            <v>0</v>
          </cell>
          <cell r="H583">
            <v>2765</v>
          </cell>
        </row>
        <row r="584">
          <cell r="A584">
            <v>2460</v>
          </cell>
          <cell r="B584" t="str">
            <v>Moyen</v>
          </cell>
          <cell r="D584" t="str">
            <v>*</v>
          </cell>
          <cell r="F584">
            <v>1</v>
          </cell>
          <cell r="G584">
            <v>0</v>
          </cell>
          <cell r="H584">
            <v>3316</v>
          </cell>
        </row>
        <row r="585">
          <cell r="A585">
            <v>2461</v>
          </cell>
          <cell r="B585" t="str">
            <v>Moyen</v>
          </cell>
          <cell r="D585" t="str">
            <v>*</v>
          </cell>
          <cell r="F585">
            <v>1</v>
          </cell>
          <cell r="G585">
            <v>0</v>
          </cell>
          <cell r="H585">
            <v>21850</v>
          </cell>
        </row>
        <row r="586">
          <cell r="A586">
            <v>2462</v>
          </cell>
          <cell r="B586" t="str">
            <v>Moyen</v>
          </cell>
          <cell r="D586" t="str">
            <v>*</v>
          </cell>
          <cell r="F586">
            <v>1</v>
          </cell>
          <cell r="G586">
            <v>0</v>
          </cell>
          <cell r="H586">
            <v>12560</v>
          </cell>
        </row>
        <row r="587">
          <cell r="A587">
            <v>2463</v>
          </cell>
          <cell r="B587" t="str">
            <v>Moyen</v>
          </cell>
          <cell r="D587" t="str">
            <v>*</v>
          </cell>
          <cell r="F587">
            <v>1</v>
          </cell>
          <cell r="G587">
            <v>0</v>
          </cell>
          <cell r="H587">
            <v>4415.3554817275699</v>
          </cell>
        </row>
        <row r="588">
          <cell r="A588">
            <v>2464</v>
          </cell>
          <cell r="B588" t="str">
            <v>Moyen</v>
          </cell>
          <cell r="D588" t="str">
            <v>*</v>
          </cell>
          <cell r="F588">
            <v>1</v>
          </cell>
          <cell r="G588">
            <v>0</v>
          </cell>
          <cell r="H588">
            <v>8891.8102483777093</v>
          </cell>
        </row>
        <row r="589">
          <cell r="A589">
            <v>2465</v>
          </cell>
          <cell r="B589" t="str">
            <v>Moyen</v>
          </cell>
          <cell r="D589" t="str">
            <v>*</v>
          </cell>
          <cell r="F589">
            <v>1</v>
          </cell>
          <cell r="G589">
            <v>0</v>
          </cell>
          <cell r="H589">
            <v>3765.8488041421001</v>
          </cell>
        </row>
        <row r="590">
          <cell r="A590">
            <v>2466</v>
          </cell>
          <cell r="B590" t="str">
            <v>Moyen</v>
          </cell>
          <cell r="D590" t="str">
            <v>*</v>
          </cell>
          <cell r="F590">
            <v>1</v>
          </cell>
          <cell r="G590">
            <v>0</v>
          </cell>
          <cell r="H590">
            <v>2500</v>
          </cell>
        </row>
        <row r="591">
          <cell r="A591">
            <v>2467</v>
          </cell>
          <cell r="B591" t="str">
            <v>Moyen</v>
          </cell>
          <cell r="D591" t="str">
            <v>*</v>
          </cell>
          <cell r="F591">
            <v>1</v>
          </cell>
          <cell r="G591">
            <v>0</v>
          </cell>
          <cell r="H591">
            <v>181044.13200000001</v>
          </cell>
        </row>
        <row r="592">
          <cell r="A592">
            <v>2468</v>
          </cell>
          <cell r="B592" t="str">
            <v>Moyen</v>
          </cell>
          <cell r="D592" t="str">
            <v>*</v>
          </cell>
          <cell r="F592">
            <v>1</v>
          </cell>
          <cell r="G592">
            <v>0</v>
          </cell>
          <cell r="H592">
            <v>3338.89602053915</v>
          </cell>
        </row>
        <row r="593">
          <cell r="A593">
            <v>2469</v>
          </cell>
          <cell r="B593" t="str">
            <v>Moyen</v>
          </cell>
          <cell r="D593" t="str">
            <v>*</v>
          </cell>
          <cell r="F593">
            <v>1</v>
          </cell>
          <cell r="G593">
            <v>0</v>
          </cell>
          <cell r="H593">
            <v>0</v>
          </cell>
        </row>
        <row r="594">
          <cell r="A594">
            <v>2470</v>
          </cell>
          <cell r="B594" t="str">
            <v>Moyen</v>
          </cell>
          <cell r="D594" t="str">
            <v>*</v>
          </cell>
          <cell r="F594">
            <v>1</v>
          </cell>
          <cell r="G594">
            <v>0</v>
          </cell>
          <cell r="H594">
            <v>116695</v>
          </cell>
        </row>
        <row r="595">
          <cell r="A595">
            <v>2471</v>
          </cell>
          <cell r="B595" t="str">
            <v>Moyen</v>
          </cell>
          <cell r="D595" t="str">
            <v>*</v>
          </cell>
          <cell r="F595">
            <v>1</v>
          </cell>
          <cell r="G595">
            <v>0</v>
          </cell>
          <cell r="H595">
            <v>42693</v>
          </cell>
        </row>
        <row r="596">
          <cell r="A596">
            <v>2472</v>
          </cell>
          <cell r="B596" t="str">
            <v>Moyen</v>
          </cell>
          <cell r="D596" t="str">
            <v>*</v>
          </cell>
          <cell r="F596">
            <v>1</v>
          </cell>
          <cell r="G596">
            <v>0</v>
          </cell>
          <cell r="H596">
            <v>0</v>
          </cell>
        </row>
        <row r="597">
          <cell r="A597">
            <v>2473</v>
          </cell>
          <cell r="B597" t="str">
            <v>Moyen</v>
          </cell>
          <cell r="D597" t="str">
            <v>*</v>
          </cell>
          <cell r="F597">
            <v>1</v>
          </cell>
          <cell r="G597">
            <v>0</v>
          </cell>
          <cell r="H597">
            <v>6500</v>
          </cell>
        </row>
        <row r="598">
          <cell r="A598">
            <v>2474</v>
          </cell>
          <cell r="B598" t="str">
            <v>Moyen</v>
          </cell>
          <cell r="D598" t="str">
            <v>*</v>
          </cell>
          <cell r="F598">
            <v>1</v>
          </cell>
          <cell r="G598">
            <v>0</v>
          </cell>
          <cell r="H598">
            <v>2771</v>
          </cell>
        </row>
        <row r="599">
          <cell r="A599">
            <v>2475</v>
          </cell>
          <cell r="B599" t="str">
            <v>Moyen</v>
          </cell>
          <cell r="D599" t="str">
            <v>*</v>
          </cell>
          <cell r="F599">
            <v>1</v>
          </cell>
          <cell r="G599">
            <v>0</v>
          </cell>
          <cell r="H599">
            <v>1375</v>
          </cell>
        </row>
        <row r="600">
          <cell r="A600">
            <v>2476</v>
          </cell>
          <cell r="B600" t="str">
            <v>Moyen</v>
          </cell>
          <cell r="D600" t="str">
            <v>*</v>
          </cell>
          <cell r="F600">
            <v>1</v>
          </cell>
          <cell r="G600">
            <v>0</v>
          </cell>
          <cell r="H600">
            <v>1</v>
          </cell>
        </row>
        <row r="601">
          <cell r="A601">
            <v>2477</v>
          </cell>
          <cell r="B601" t="str">
            <v>Moyen</v>
          </cell>
          <cell r="D601" t="str">
            <v>*</v>
          </cell>
          <cell r="F601">
            <v>1</v>
          </cell>
          <cell r="G601">
            <v>0</v>
          </cell>
          <cell r="H601">
            <v>121634.10651</v>
          </cell>
        </row>
        <row r="602">
          <cell r="A602">
            <v>2478</v>
          </cell>
          <cell r="B602" t="str">
            <v>Moyen</v>
          </cell>
          <cell r="D602" t="str">
            <v>*</v>
          </cell>
          <cell r="F602">
            <v>1</v>
          </cell>
          <cell r="G602">
            <v>0</v>
          </cell>
          <cell r="H602">
            <v>17948.180064666602</v>
          </cell>
        </row>
        <row r="603">
          <cell r="A603">
            <v>2479</v>
          </cell>
          <cell r="B603" t="str">
            <v>Moyen</v>
          </cell>
          <cell r="D603" t="str">
            <v>*</v>
          </cell>
          <cell r="F603">
            <v>1</v>
          </cell>
          <cell r="G603">
            <v>0</v>
          </cell>
          <cell r="H603">
            <v>116330.07692307601</v>
          </cell>
        </row>
        <row r="604">
          <cell r="A604">
            <v>2480</v>
          </cell>
          <cell r="B604" t="str">
            <v>Moyen</v>
          </cell>
          <cell r="D604" t="str">
            <v>*</v>
          </cell>
          <cell r="F604">
            <v>1</v>
          </cell>
          <cell r="G604">
            <v>0</v>
          </cell>
          <cell r="H604">
            <v>180</v>
          </cell>
        </row>
        <row r="605">
          <cell r="A605">
            <v>2481</v>
          </cell>
          <cell r="B605" t="str">
            <v>Moyen</v>
          </cell>
          <cell r="D605" t="str">
            <v>*</v>
          </cell>
          <cell r="F605">
            <v>1</v>
          </cell>
          <cell r="G605">
            <v>0</v>
          </cell>
          <cell r="H605">
            <v>1486</v>
          </cell>
        </row>
        <row r="606">
          <cell r="A606">
            <v>2482</v>
          </cell>
          <cell r="B606" t="str">
            <v>Moyen</v>
          </cell>
          <cell r="D606" t="str">
            <v>*</v>
          </cell>
          <cell r="F606">
            <v>1</v>
          </cell>
          <cell r="G606">
            <v>0</v>
          </cell>
          <cell r="H606">
            <v>2070</v>
          </cell>
        </row>
        <row r="607">
          <cell r="A607">
            <v>2483</v>
          </cell>
          <cell r="B607" t="str">
            <v>Moyen</v>
          </cell>
          <cell r="D607" t="str">
            <v>*</v>
          </cell>
          <cell r="F607">
            <v>1</v>
          </cell>
          <cell r="G607">
            <v>0</v>
          </cell>
          <cell r="H607">
            <v>0</v>
          </cell>
        </row>
        <row r="608">
          <cell r="A608">
            <v>2484</v>
          </cell>
          <cell r="B608" t="str">
            <v>Moyen</v>
          </cell>
          <cell r="D608" t="str">
            <v>*</v>
          </cell>
          <cell r="F608">
            <v>1</v>
          </cell>
          <cell r="G608">
            <v>0</v>
          </cell>
          <cell r="H608">
            <v>211</v>
          </cell>
        </row>
        <row r="609">
          <cell r="A609">
            <v>2485</v>
          </cell>
          <cell r="B609" t="str">
            <v>Moyen</v>
          </cell>
          <cell r="D609" t="str">
            <v>*</v>
          </cell>
          <cell r="F609">
            <v>1</v>
          </cell>
          <cell r="G609">
            <v>0</v>
          </cell>
          <cell r="H609">
            <v>0</v>
          </cell>
        </row>
        <row r="610">
          <cell r="A610">
            <v>2486</v>
          </cell>
          <cell r="B610" t="str">
            <v>Moyen</v>
          </cell>
          <cell r="D610" t="str">
            <v>*</v>
          </cell>
          <cell r="F610">
            <v>1</v>
          </cell>
          <cell r="G610">
            <v>0</v>
          </cell>
          <cell r="H610">
            <v>32867</v>
          </cell>
        </row>
        <row r="611">
          <cell r="A611">
            <v>2487</v>
          </cell>
          <cell r="B611" t="str">
            <v>Moyen</v>
          </cell>
          <cell r="D611" t="str">
            <v>*</v>
          </cell>
          <cell r="F611">
            <v>1</v>
          </cell>
          <cell r="G611">
            <v>0</v>
          </cell>
          <cell r="H611">
            <v>168.805989583333</v>
          </cell>
        </row>
        <row r="612">
          <cell r="A612">
            <v>2488</v>
          </cell>
          <cell r="B612" t="str">
            <v>Moyen</v>
          </cell>
          <cell r="D612" t="str">
            <v>*</v>
          </cell>
          <cell r="F612">
            <v>1</v>
          </cell>
          <cell r="G612">
            <v>0</v>
          </cell>
          <cell r="H612">
            <v>776.84989429175403</v>
          </cell>
        </row>
        <row r="613">
          <cell r="A613">
            <v>2489</v>
          </cell>
          <cell r="B613" t="str">
            <v>Moyen</v>
          </cell>
          <cell r="D613" t="str">
            <v>*</v>
          </cell>
          <cell r="F613">
            <v>1</v>
          </cell>
          <cell r="G613">
            <v>0</v>
          </cell>
          <cell r="H613">
            <v>0</v>
          </cell>
        </row>
        <row r="614">
          <cell r="A614">
            <v>2490</v>
          </cell>
          <cell r="B614" t="str">
            <v>Moyen</v>
          </cell>
          <cell r="D614" t="str">
            <v>*</v>
          </cell>
          <cell r="F614">
            <v>1</v>
          </cell>
          <cell r="G614">
            <v>0</v>
          </cell>
          <cell r="H614">
            <v>16293.971879999999</v>
          </cell>
        </row>
        <row r="615">
          <cell r="A615">
            <v>2491</v>
          </cell>
          <cell r="B615" t="str">
            <v>Moyen</v>
          </cell>
          <cell r="D615" t="str">
            <v>*</v>
          </cell>
          <cell r="F615">
            <v>1</v>
          </cell>
          <cell r="G615">
            <v>0</v>
          </cell>
          <cell r="H615">
            <v>640</v>
          </cell>
        </row>
        <row r="616">
          <cell r="A616">
            <v>2492</v>
          </cell>
          <cell r="B616" t="str">
            <v>Moyen</v>
          </cell>
          <cell r="D616" t="str">
            <v>*</v>
          </cell>
          <cell r="F616">
            <v>1</v>
          </cell>
          <cell r="G616">
            <v>0</v>
          </cell>
          <cell r="H616">
            <v>78955.379166666593</v>
          </cell>
        </row>
        <row r="617">
          <cell r="A617">
            <v>2493</v>
          </cell>
          <cell r="B617" t="str">
            <v>Moyen</v>
          </cell>
          <cell r="D617" t="str">
            <v>*</v>
          </cell>
          <cell r="F617">
            <v>1</v>
          </cell>
          <cell r="G617">
            <v>0</v>
          </cell>
          <cell r="H617">
            <v>0</v>
          </cell>
        </row>
        <row r="618">
          <cell r="A618">
            <v>2494</v>
          </cell>
          <cell r="B618" t="str">
            <v>Moyen</v>
          </cell>
          <cell r="D618" t="str">
            <v>*</v>
          </cell>
          <cell r="F618">
            <v>1</v>
          </cell>
          <cell r="G618">
            <v>0</v>
          </cell>
          <cell r="H618">
            <v>43868</v>
          </cell>
        </row>
        <row r="619">
          <cell r="A619">
            <v>2495</v>
          </cell>
          <cell r="B619" t="str">
            <v>Moyen</v>
          </cell>
          <cell r="D619" t="str">
            <v>*</v>
          </cell>
          <cell r="F619">
            <v>1</v>
          </cell>
          <cell r="G619">
            <v>0</v>
          </cell>
          <cell r="H619">
            <v>96164.069337412497</v>
          </cell>
        </row>
        <row r="620">
          <cell r="A620">
            <v>2496</v>
          </cell>
          <cell r="B620" t="str">
            <v>Moyen</v>
          </cell>
          <cell r="D620" t="str">
            <v>*</v>
          </cell>
          <cell r="F620">
            <v>1</v>
          </cell>
          <cell r="G620">
            <v>0</v>
          </cell>
          <cell r="H620">
            <v>137908.39968</v>
          </cell>
        </row>
        <row r="621">
          <cell r="A621">
            <v>2497</v>
          </cell>
          <cell r="B621" t="str">
            <v>Moyen</v>
          </cell>
          <cell r="D621" t="str">
            <v>*</v>
          </cell>
          <cell r="F621">
            <v>1</v>
          </cell>
          <cell r="G621">
            <v>0</v>
          </cell>
          <cell r="H621">
            <v>498357</v>
          </cell>
        </row>
        <row r="622">
          <cell r="A622">
            <v>2498</v>
          </cell>
          <cell r="B622" t="str">
            <v>Moyen</v>
          </cell>
          <cell r="D622" t="str">
            <v>*</v>
          </cell>
          <cell r="F622">
            <v>1</v>
          </cell>
          <cell r="G622">
            <v>0</v>
          </cell>
          <cell r="H622">
            <v>0</v>
          </cell>
        </row>
        <row r="623">
          <cell r="A623">
            <v>2499</v>
          </cell>
          <cell r="B623" t="str">
            <v>Moyen</v>
          </cell>
          <cell r="D623" t="str">
            <v>*</v>
          </cell>
          <cell r="F623">
            <v>1</v>
          </cell>
          <cell r="G623">
            <v>0</v>
          </cell>
          <cell r="H623">
            <v>881</v>
          </cell>
        </row>
        <row r="624">
          <cell r="A624">
            <v>2500</v>
          </cell>
          <cell r="B624" t="str">
            <v>Moyen</v>
          </cell>
          <cell r="D624" t="str">
            <v>*</v>
          </cell>
          <cell r="F624">
            <v>1</v>
          </cell>
          <cell r="G624">
            <v>0</v>
          </cell>
          <cell r="H624">
            <v>25</v>
          </cell>
        </row>
        <row r="625">
          <cell r="A625">
            <v>2501</v>
          </cell>
          <cell r="B625" t="str">
            <v>Moyen</v>
          </cell>
          <cell r="D625" t="str">
            <v>*</v>
          </cell>
          <cell r="F625">
            <v>1</v>
          </cell>
          <cell r="G625">
            <v>0</v>
          </cell>
          <cell r="H625">
            <v>1167106.3721114399</v>
          </cell>
        </row>
        <row r="626">
          <cell r="A626">
            <v>2502</v>
          </cell>
          <cell r="B626" t="str">
            <v>Moyen</v>
          </cell>
          <cell r="D626" t="str">
            <v>*</v>
          </cell>
          <cell r="F626">
            <v>1</v>
          </cell>
          <cell r="G626">
            <v>0</v>
          </cell>
          <cell r="H626">
            <v>0</v>
          </cell>
        </row>
        <row r="627">
          <cell r="A627">
            <v>2503</v>
          </cell>
          <cell r="B627" t="str">
            <v>Moyen</v>
          </cell>
          <cell r="D627" t="str">
            <v>*</v>
          </cell>
          <cell r="F627">
            <v>1</v>
          </cell>
          <cell r="G627">
            <v>0</v>
          </cell>
          <cell r="H627">
            <v>35200</v>
          </cell>
        </row>
        <row r="628">
          <cell r="A628">
            <v>2504</v>
          </cell>
          <cell r="B628" t="str">
            <v>Moyen</v>
          </cell>
          <cell r="D628" t="str">
            <v>*</v>
          </cell>
          <cell r="F628">
            <v>1</v>
          </cell>
          <cell r="G628">
            <v>0</v>
          </cell>
          <cell r="H628">
            <v>0</v>
          </cell>
        </row>
        <row r="629">
          <cell r="A629">
            <v>2505</v>
          </cell>
          <cell r="B629" t="str">
            <v>Moyen</v>
          </cell>
          <cell r="D629" t="str">
            <v>*</v>
          </cell>
          <cell r="F629">
            <v>1</v>
          </cell>
          <cell r="G629">
            <v>0</v>
          </cell>
          <cell r="H629">
            <v>1</v>
          </cell>
        </row>
        <row r="630">
          <cell r="A630">
            <v>2506</v>
          </cell>
          <cell r="B630" t="str">
            <v>Moyen</v>
          </cell>
          <cell r="D630" t="str">
            <v>*</v>
          </cell>
          <cell r="F630">
            <v>1</v>
          </cell>
          <cell r="G630">
            <v>0</v>
          </cell>
          <cell r="H630">
            <v>286522</v>
          </cell>
        </row>
        <row r="631">
          <cell r="A631">
            <v>2507</v>
          </cell>
          <cell r="B631" t="str">
            <v>Moyen</v>
          </cell>
          <cell r="D631" t="str">
            <v>*</v>
          </cell>
          <cell r="F631">
            <v>1</v>
          </cell>
          <cell r="G631">
            <v>0</v>
          </cell>
          <cell r="H631">
            <v>227406</v>
          </cell>
        </row>
        <row r="632">
          <cell r="A632">
            <v>2508</v>
          </cell>
          <cell r="B632" t="str">
            <v>Moyen</v>
          </cell>
          <cell r="D632" t="str">
            <v>*</v>
          </cell>
          <cell r="F632">
            <v>1</v>
          </cell>
          <cell r="G632">
            <v>0</v>
          </cell>
          <cell r="H632">
            <v>141230</v>
          </cell>
        </row>
        <row r="633">
          <cell r="A633">
            <v>2509</v>
          </cell>
          <cell r="B633" t="str">
            <v>Moyen</v>
          </cell>
          <cell r="D633" t="str">
            <v>*</v>
          </cell>
          <cell r="F633">
            <v>1</v>
          </cell>
          <cell r="G633">
            <v>0</v>
          </cell>
          <cell r="H633">
            <v>389993</v>
          </cell>
        </row>
        <row r="634">
          <cell r="A634">
            <v>2510</v>
          </cell>
          <cell r="B634" t="str">
            <v>Moyen</v>
          </cell>
          <cell r="D634" t="str">
            <v>*</v>
          </cell>
          <cell r="F634">
            <v>1</v>
          </cell>
          <cell r="G634">
            <v>0</v>
          </cell>
          <cell r="H634">
            <v>711162</v>
          </cell>
        </row>
        <row r="635">
          <cell r="A635">
            <v>2511</v>
          </cell>
          <cell r="B635" t="str">
            <v>Moyen</v>
          </cell>
          <cell r="D635" t="str">
            <v>*</v>
          </cell>
          <cell r="F635">
            <v>1</v>
          </cell>
          <cell r="G635">
            <v>0</v>
          </cell>
          <cell r="H635">
            <v>331304</v>
          </cell>
        </row>
        <row r="636">
          <cell r="A636">
            <v>2512</v>
          </cell>
          <cell r="B636" t="str">
            <v>Moyen</v>
          </cell>
          <cell r="D636" t="str">
            <v>*</v>
          </cell>
          <cell r="F636">
            <v>1</v>
          </cell>
          <cell r="G636">
            <v>0</v>
          </cell>
          <cell r="H636">
            <v>4329</v>
          </cell>
        </row>
        <row r="637">
          <cell r="A637">
            <v>2513</v>
          </cell>
          <cell r="B637" t="str">
            <v>Moyen</v>
          </cell>
          <cell r="D637" t="str">
            <v>*</v>
          </cell>
          <cell r="F637">
            <v>1</v>
          </cell>
          <cell r="G637">
            <v>0</v>
          </cell>
          <cell r="H637">
            <v>58493</v>
          </cell>
        </row>
        <row r="638">
          <cell r="A638">
            <v>2514</v>
          </cell>
          <cell r="B638" t="str">
            <v>Moyen</v>
          </cell>
          <cell r="D638" t="str">
            <v>*</v>
          </cell>
          <cell r="F638">
            <v>1</v>
          </cell>
          <cell r="G638">
            <v>0</v>
          </cell>
          <cell r="H638">
            <v>5678</v>
          </cell>
        </row>
        <row r="639">
          <cell r="A639">
            <v>2515</v>
          </cell>
          <cell r="B639" t="str">
            <v>Moyen</v>
          </cell>
          <cell r="D639" t="str">
            <v>*</v>
          </cell>
          <cell r="F639">
            <v>1</v>
          </cell>
          <cell r="G639">
            <v>0</v>
          </cell>
          <cell r="H639">
            <v>106068.2469</v>
          </cell>
        </row>
        <row r="640">
          <cell r="A640">
            <v>2516</v>
          </cell>
          <cell r="B640" t="str">
            <v>Moyen</v>
          </cell>
          <cell r="D640" t="str">
            <v>*</v>
          </cell>
          <cell r="F640">
            <v>1</v>
          </cell>
          <cell r="G640">
            <v>0</v>
          </cell>
          <cell r="H640">
            <v>100362</v>
          </cell>
        </row>
        <row r="641">
          <cell r="A641">
            <v>2517</v>
          </cell>
          <cell r="B641" t="str">
            <v>Moyen</v>
          </cell>
          <cell r="D641" t="str">
            <v>*</v>
          </cell>
          <cell r="F641">
            <v>1</v>
          </cell>
          <cell r="G641">
            <v>0</v>
          </cell>
          <cell r="H641">
            <v>112037</v>
          </cell>
        </row>
        <row r="642">
          <cell r="A642">
            <v>2518</v>
          </cell>
          <cell r="B642" t="str">
            <v>Moyen</v>
          </cell>
          <cell r="D642" t="str">
            <v>*</v>
          </cell>
          <cell r="F642">
            <v>1</v>
          </cell>
          <cell r="G642">
            <v>0</v>
          </cell>
          <cell r="H642">
            <v>201131.97079545399</v>
          </cell>
        </row>
        <row r="643">
          <cell r="A643">
            <v>2519</v>
          </cell>
          <cell r="B643" t="str">
            <v>Moyen</v>
          </cell>
          <cell r="D643" t="str">
            <v>*</v>
          </cell>
          <cell r="F643">
            <v>1</v>
          </cell>
          <cell r="G643">
            <v>0</v>
          </cell>
          <cell r="H643">
            <v>3000</v>
          </cell>
        </row>
        <row r="644">
          <cell r="A644">
            <v>2520</v>
          </cell>
          <cell r="B644" t="str">
            <v>Moyen</v>
          </cell>
          <cell r="D644" t="str">
            <v>*</v>
          </cell>
          <cell r="F644">
            <v>1</v>
          </cell>
          <cell r="G644">
            <v>0</v>
          </cell>
          <cell r="H644">
            <v>301740</v>
          </cell>
        </row>
        <row r="645">
          <cell r="A645">
            <v>2521</v>
          </cell>
          <cell r="B645" t="str">
            <v>Moyen</v>
          </cell>
          <cell r="D645" t="str">
            <v>*</v>
          </cell>
          <cell r="F645">
            <v>1</v>
          </cell>
          <cell r="G645">
            <v>0</v>
          </cell>
          <cell r="H645">
            <v>16714</v>
          </cell>
        </row>
        <row r="646">
          <cell r="A646">
            <v>2522</v>
          </cell>
          <cell r="B646" t="str">
            <v>Moyen</v>
          </cell>
          <cell r="D646" t="str">
            <v>*</v>
          </cell>
          <cell r="F646">
            <v>1</v>
          </cell>
          <cell r="G646">
            <v>0</v>
          </cell>
          <cell r="H646">
            <v>963517</v>
          </cell>
        </row>
        <row r="647">
          <cell r="A647">
            <v>2523</v>
          </cell>
          <cell r="B647" t="str">
            <v>Moyen</v>
          </cell>
          <cell r="D647" t="str">
            <v>*</v>
          </cell>
          <cell r="F647">
            <v>1</v>
          </cell>
          <cell r="G647">
            <v>0</v>
          </cell>
          <cell r="H647">
            <v>1</v>
          </cell>
        </row>
        <row r="648">
          <cell r="A648">
            <v>2524</v>
          </cell>
          <cell r="B648" t="str">
            <v>Moyen</v>
          </cell>
          <cell r="D648" t="str">
            <v>*</v>
          </cell>
          <cell r="F648">
            <v>1</v>
          </cell>
          <cell r="G648">
            <v>0</v>
          </cell>
          <cell r="H648">
            <v>0</v>
          </cell>
        </row>
        <row r="649">
          <cell r="A649">
            <v>2525</v>
          </cell>
          <cell r="B649" t="str">
            <v>Moyen</v>
          </cell>
          <cell r="D649" t="str">
            <v>*</v>
          </cell>
          <cell r="F649">
            <v>1</v>
          </cell>
          <cell r="G649">
            <v>0</v>
          </cell>
          <cell r="H649">
            <v>18286</v>
          </cell>
        </row>
        <row r="650">
          <cell r="A650">
            <v>2526</v>
          </cell>
          <cell r="B650" t="str">
            <v>Moyen</v>
          </cell>
          <cell r="D650" t="str">
            <v>*</v>
          </cell>
          <cell r="F650">
            <v>1</v>
          </cell>
          <cell r="G650">
            <v>0</v>
          </cell>
          <cell r="H650">
            <v>44605</v>
          </cell>
        </row>
        <row r="651">
          <cell r="A651">
            <v>2527</v>
          </cell>
          <cell r="B651" t="str">
            <v>Moyen</v>
          </cell>
          <cell r="D651" t="str">
            <v>*</v>
          </cell>
          <cell r="F651">
            <v>1</v>
          </cell>
          <cell r="G651">
            <v>0</v>
          </cell>
          <cell r="H651">
            <v>17474.694479999998</v>
          </cell>
        </row>
        <row r="652">
          <cell r="A652">
            <v>2528</v>
          </cell>
          <cell r="B652" t="str">
            <v>Moyen</v>
          </cell>
          <cell r="D652" t="str">
            <v>*</v>
          </cell>
          <cell r="F652">
            <v>1</v>
          </cell>
          <cell r="G652">
            <v>0</v>
          </cell>
          <cell r="H652">
            <v>461466</v>
          </cell>
        </row>
        <row r="653">
          <cell r="A653">
            <v>2529</v>
          </cell>
          <cell r="B653" t="str">
            <v>Moyen</v>
          </cell>
          <cell r="D653" t="str">
            <v>*</v>
          </cell>
          <cell r="F653">
            <v>1</v>
          </cell>
          <cell r="G653">
            <v>0</v>
          </cell>
          <cell r="H653">
            <v>0</v>
          </cell>
        </row>
        <row r="654">
          <cell r="A654">
            <v>2530</v>
          </cell>
          <cell r="B654" t="str">
            <v>Moyen</v>
          </cell>
          <cell r="D654" t="str">
            <v>*</v>
          </cell>
          <cell r="F654">
            <v>1</v>
          </cell>
          <cell r="G654">
            <v>0</v>
          </cell>
          <cell r="H654">
            <v>256</v>
          </cell>
        </row>
        <row r="655">
          <cell r="A655">
            <v>2531</v>
          </cell>
          <cell r="B655" t="str">
            <v>Moyen</v>
          </cell>
          <cell r="D655" t="str">
            <v>*</v>
          </cell>
          <cell r="F655">
            <v>1</v>
          </cell>
          <cell r="G655">
            <v>0</v>
          </cell>
          <cell r="H655">
            <v>38119</v>
          </cell>
        </row>
        <row r="656">
          <cell r="A656">
            <v>2532</v>
          </cell>
          <cell r="B656" t="str">
            <v>Moyen</v>
          </cell>
          <cell r="D656" t="str">
            <v>*</v>
          </cell>
          <cell r="F656">
            <v>1</v>
          </cell>
          <cell r="G656">
            <v>0</v>
          </cell>
          <cell r="H656">
            <v>124328</v>
          </cell>
        </row>
        <row r="657">
          <cell r="A657">
            <v>2533</v>
          </cell>
          <cell r="B657" t="str">
            <v>Moyen</v>
          </cell>
          <cell r="D657" t="str">
            <v>*</v>
          </cell>
          <cell r="F657">
            <v>1</v>
          </cell>
          <cell r="G657">
            <v>0</v>
          </cell>
          <cell r="H657">
            <v>99</v>
          </cell>
        </row>
        <row r="658">
          <cell r="A658">
            <v>2534</v>
          </cell>
          <cell r="B658" t="str">
            <v>Moyen</v>
          </cell>
          <cell r="D658" t="str">
            <v>*</v>
          </cell>
          <cell r="F658">
            <v>1</v>
          </cell>
          <cell r="G658">
            <v>0</v>
          </cell>
          <cell r="H658">
            <v>1</v>
          </cell>
        </row>
        <row r="659">
          <cell r="A659">
            <v>2535</v>
          </cell>
          <cell r="B659" t="str">
            <v>Moyen</v>
          </cell>
          <cell r="D659" t="str">
            <v>*</v>
          </cell>
          <cell r="F659">
            <v>1</v>
          </cell>
          <cell r="G659">
            <v>0</v>
          </cell>
          <cell r="H659">
            <v>1</v>
          </cell>
        </row>
        <row r="660">
          <cell r="A660">
            <v>2536</v>
          </cell>
          <cell r="B660" t="str">
            <v>Moyen</v>
          </cell>
          <cell r="D660" t="str">
            <v>*</v>
          </cell>
          <cell r="F660">
            <v>1</v>
          </cell>
          <cell r="G660">
            <v>0</v>
          </cell>
          <cell r="H660">
            <v>240080</v>
          </cell>
        </row>
        <row r="661">
          <cell r="A661">
            <v>2537</v>
          </cell>
          <cell r="B661" t="str">
            <v>Moyen</v>
          </cell>
          <cell r="D661" t="str">
            <v>*</v>
          </cell>
          <cell r="F661">
            <v>1</v>
          </cell>
          <cell r="G661">
            <v>0</v>
          </cell>
          <cell r="H661">
            <v>1621</v>
          </cell>
        </row>
        <row r="662">
          <cell r="A662">
            <v>2538</v>
          </cell>
          <cell r="B662" t="str">
            <v>Moyen</v>
          </cell>
          <cell r="D662" t="str">
            <v>*</v>
          </cell>
          <cell r="F662">
            <v>1</v>
          </cell>
          <cell r="G662">
            <v>0</v>
          </cell>
          <cell r="H662">
            <v>300</v>
          </cell>
        </row>
        <row r="663">
          <cell r="A663">
            <v>2539</v>
          </cell>
          <cell r="B663" t="str">
            <v>Moyen</v>
          </cell>
          <cell r="D663" t="str">
            <v>*</v>
          </cell>
          <cell r="F663">
            <v>1</v>
          </cell>
          <cell r="G663">
            <v>0</v>
          </cell>
          <cell r="H663">
            <v>216751.13658848201</v>
          </cell>
        </row>
        <row r="664">
          <cell r="A664">
            <v>2540</v>
          </cell>
          <cell r="B664" t="str">
            <v>Moyen</v>
          </cell>
          <cell r="D664" t="str">
            <v>*</v>
          </cell>
          <cell r="F664">
            <v>1</v>
          </cell>
          <cell r="G664">
            <v>0</v>
          </cell>
          <cell r="H664">
            <v>8542</v>
          </cell>
        </row>
        <row r="665">
          <cell r="A665">
            <v>2541</v>
          </cell>
          <cell r="B665" t="str">
            <v>Moyen</v>
          </cell>
          <cell r="D665" t="str">
            <v>*</v>
          </cell>
          <cell r="F665">
            <v>1</v>
          </cell>
          <cell r="G665">
            <v>0</v>
          </cell>
          <cell r="H665">
            <v>25.36</v>
          </cell>
        </row>
        <row r="666">
          <cell r="A666">
            <v>2542</v>
          </cell>
          <cell r="B666" t="str">
            <v>Moyen</v>
          </cell>
          <cell r="D666" t="str">
            <v>*</v>
          </cell>
          <cell r="F666">
            <v>1</v>
          </cell>
          <cell r="G666">
            <v>0</v>
          </cell>
          <cell r="H666">
            <v>175169</v>
          </cell>
        </row>
        <row r="667">
          <cell r="A667">
            <v>2543</v>
          </cell>
          <cell r="B667" t="str">
            <v>Moyen</v>
          </cell>
          <cell r="D667" t="str">
            <v>*</v>
          </cell>
          <cell r="F667">
            <v>1</v>
          </cell>
          <cell r="G667">
            <v>0</v>
          </cell>
          <cell r="H667">
            <v>39817</v>
          </cell>
        </row>
        <row r="668">
          <cell r="A668">
            <v>2544</v>
          </cell>
          <cell r="B668" t="str">
            <v>Moyen</v>
          </cell>
          <cell r="D668" t="str">
            <v>*</v>
          </cell>
          <cell r="F668">
            <v>1</v>
          </cell>
          <cell r="G668">
            <v>0</v>
          </cell>
          <cell r="H668">
            <v>1109</v>
          </cell>
        </row>
        <row r="669">
          <cell r="A669">
            <v>2545</v>
          </cell>
          <cell r="B669" t="str">
            <v>Moyen</v>
          </cell>
          <cell r="D669" t="str">
            <v>*</v>
          </cell>
          <cell r="F669">
            <v>1</v>
          </cell>
          <cell r="G669">
            <v>0</v>
          </cell>
          <cell r="H669">
            <v>176780.41149999999</v>
          </cell>
        </row>
        <row r="670">
          <cell r="A670">
            <v>2546</v>
          </cell>
          <cell r="B670" t="str">
            <v>Moyen</v>
          </cell>
          <cell r="D670" t="str">
            <v>*</v>
          </cell>
          <cell r="F670">
            <v>1</v>
          </cell>
          <cell r="G670">
            <v>0</v>
          </cell>
          <cell r="H670">
            <v>0</v>
          </cell>
        </row>
        <row r="671">
          <cell r="A671">
            <v>2547</v>
          </cell>
          <cell r="B671" t="str">
            <v>Moyen</v>
          </cell>
          <cell r="D671" t="str">
            <v>*</v>
          </cell>
          <cell r="F671">
            <v>1</v>
          </cell>
          <cell r="G671">
            <v>0</v>
          </cell>
          <cell r="H671">
            <v>7084</v>
          </cell>
        </row>
        <row r="672">
          <cell r="A672">
            <v>2548</v>
          </cell>
          <cell r="B672" t="str">
            <v>Moyen</v>
          </cell>
          <cell r="D672" t="str">
            <v>*</v>
          </cell>
          <cell r="F672">
            <v>1</v>
          </cell>
          <cell r="G672">
            <v>0</v>
          </cell>
          <cell r="H672">
            <v>0</v>
          </cell>
        </row>
        <row r="673">
          <cell r="A673">
            <v>2549</v>
          </cell>
          <cell r="B673" t="str">
            <v>Moyen</v>
          </cell>
          <cell r="D673" t="str">
            <v>*</v>
          </cell>
          <cell r="F673">
            <v>1</v>
          </cell>
          <cell r="G673">
            <v>0</v>
          </cell>
          <cell r="H673">
            <v>353</v>
          </cell>
        </row>
        <row r="674">
          <cell r="A674">
            <v>2550</v>
          </cell>
          <cell r="B674" t="str">
            <v>Moyen</v>
          </cell>
          <cell r="D674" t="str">
            <v>*</v>
          </cell>
          <cell r="F674">
            <v>1</v>
          </cell>
          <cell r="G674">
            <v>0</v>
          </cell>
          <cell r="H674">
            <v>0</v>
          </cell>
        </row>
        <row r="675">
          <cell r="A675">
            <v>2551</v>
          </cell>
          <cell r="B675" t="str">
            <v>Moyen</v>
          </cell>
          <cell r="D675" t="str">
            <v>*</v>
          </cell>
          <cell r="F675">
            <v>1</v>
          </cell>
          <cell r="G675">
            <v>0</v>
          </cell>
          <cell r="H675">
            <v>725</v>
          </cell>
        </row>
        <row r="676">
          <cell r="A676">
            <v>2552</v>
          </cell>
          <cell r="B676" t="str">
            <v>Moyen</v>
          </cell>
          <cell r="D676" t="str">
            <v>*</v>
          </cell>
          <cell r="F676">
            <v>1</v>
          </cell>
          <cell r="G676">
            <v>0</v>
          </cell>
          <cell r="H676">
            <v>16399</v>
          </cell>
        </row>
        <row r="677">
          <cell r="A677">
            <v>2553</v>
          </cell>
          <cell r="B677" t="str">
            <v>Moyen</v>
          </cell>
          <cell r="D677" t="str">
            <v>*</v>
          </cell>
          <cell r="F677">
            <v>1</v>
          </cell>
          <cell r="G677">
            <v>0</v>
          </cell>
          <cell r="H677">
            <v>19554.078170000001</v>
          </cell>
        </row>
        <row r="678">
          <cell r="A678">
            <v>2554</v>
          </cell>
          <cell r="B678" t="str">
            <v>Moyen</v>
          </cell>
          <cell r="D678" t="str">
            <v>*</v>
          </cell>
          <cell r="F678">
            <v>1</v>
          </cell>
          <cell r="G678">
            <v>0</v>
          </cell>
          <cell r="H678">
            <v>32319</v>
          </cell>
        </row>
        <row r="679">
          <cell r="A679">
            <v>2555</v>
          </cell>
          <cell r="B679" t="str">
            <v>Moyen</v>
          </cell>
          <cell r="D679" t="str">
            <v>*</v>
          </cell>
          <cell r="F679">
            <v>1</v>
          </cell>
          <cell r="G679">
            <v>0</v>
          </cell>
          <cell r="H679">
            <v>5023</v>
          </cell>
        </row>
        <row r="680">
          <cell r="A680">
            <v>2556</v>
          </cell>
          <cell r="B680" t="str">
            <v>Moyen</v>
          </cell>
          <cell r="D680" t="str">
            <v>*</v>
          </cell>
          <cell r="F680">
            <v>1</v>
          </cell>
          <cell r="G680">
            <v>0</v>
          </cell>
          <cell r="H680">
            <v>1</v>
          </cell>
        </row>
        <row r="681">
          <cell r="A681">
            <v>2557</v>
          </cell>
          <cell r="B681" t="str">
            <v>Moyen</v>
          </cell>
          <cell r="D681" t="str">
            <v>*</v>
          </cell>
          <cell r="F681">
            <v>1</v>
          </cell>
          <cell r="G681">
            <v>0</v>
          </cell>
          <cell r="H681">
            <v>0</v>
          </cell>
        </row>
        <row r="682">
          <cell r="A682">
            <v>2558</v>
          </cell>
          <cell r="B682" t="str">
            <v>Moyen</v>
          </cell>
          <cell r="D682" t="str">
            <v>*</v>
          </cell>
          <cell r="F682">
            <v>1</v>
          </cell>
          <cell r="G682">
            <v>0</v>
          </cell>
          <cell r="H682">
            <v>2878</v>
          </cell>
        </row>
        <row r="683">
          <cell r="A683">
            <v>2559</v>
          </cell>
          <cell r="B683" t="str">
            <v>Moyen</v>
          </cell>
          <cell r="D683" t="str">
            <v>*</v>
          </cell>
          <cell r="F683">
            <v>1</v>
          </cell>
          <cell r="G683">
            <v>0</v>
          </cell>
          <cell r="H683">
            <v>0</v>
          </cell>
        </row>
        <row r="684">
          <cell r="A684">
            <v>2560</v>
          </cell>
          <cell r="B684" t="str">
            <v>Moyen</v>
          </cell>
          <cell r="D684" t="str">
            <v>*</v>
          </cell>
          <cell r="F684">
            <v>1</v>
          </cell>
          <cell r="G684">
            <v>0</v>
          </cell>
          <cell r="H684">
            <v>1500</v>
          </cell>
        </row>
        <row r="685">
          <cell r="A685">
            <v>2561</v>
          </cell>
          <cell r="B685" t="str">
            <v>Moyen</v>
          </cell>
          <cell r="D685" t="str">
            <v>*</v>
          </cell>
          <cell r="F685">
            <v>1</v>
          </cell>
          <cell r="G685">
            <v>0</v>
          </cell>
          <cell r="H685">
            <v>590</v>
          </cell>
        </row>
        <row r="686">
          <cell r="A686">
            <v>2562</v>
          </cell>
          <cell r="B686" t="str">
            <v>Moyen</v>
          </cell>
          <cell r="D686" t="str">
            <v>*</v>
          </cell>
          <cell r="F686">
            <v>1</v>
          </cell>
          <cell r="G686">
            <v>0</v>
          </cell>
          <cell r="H686">
            <v>100773.443990625</v>
          </cell>
        </row>
        <row r="687">
          <cell r="A687">
            <v>2563</v>
          </cell>
          <cell r="B687" t="str">
            <v>Moyen</v>
          </cell>
          <cell r="D687" t="str">
            <v>*</v>
          </cell>
          <cell r="F687">
            <v>1</v>
          </cell>
          <cell r="G687">
            <v>0</v>
          </cell>
          <cell r="H687">
            <v>90139</v>
          </cell>
        </row>
        <row r="688">
          <cell r="A688">
            <v>2564</v>
          </cell>
          <cell r="B688" t="str">
            <v>Moyen</v>
          </cell>
          <cell r="D688" t="str">
            <v>*</v>
          </cell>
          <cell r="F688">
            <v>1</v>
          </cell>
          <cell r="G688">
            <v>0</v>
          </cell>
          <cell r="H688">
            <v>85267</v>
          </cell>
        </row>
        <row r="689">
          <cell r="A689">
            <v>2565</v>
          </cell>
          <cell r="B689" t="str">
            <v>Moyen</v>
          </cell>
          <cell r="D689" t="str">
            <v>*</v>
          </cell>
          <cell r="F689">
            <v>1</v>
          </cell>
          <cell r="G689">
            <v>0</v>
          </cell>
          <cell r="H689">
            <v>150.216872344937</v>
          </cell>
        </row>
        <row r="690">
          <cell r="A690">
            <v>2566</v>
          </cell>
          <cell r="B690" t="str">
            <v>Moyen</v>
          </cell>
          <cell r="D690" t="str">
            <v>*</v>
          </cell>
          <cell r="F690">
            <v>1</v>
          </cell>
          <cell r="G690">
            <v>0</v>
          </cell>
          <cell r="H690">
            <v>0</v>
          </cell>
        </row>
        <row r="691">
          <cell r="A691">
            <v>2567</v>
          </cell>
          <cell r="B691" t="str">
            <v>Moyen</v>
          </cell>
          <cell r="D691" t="str">
            <v>*</v>
          </cell>
          <cell r="F691">
            <v>1</v>
          </cell>
          <cell r="G691">
            <v>0</v>
          </cell>
          <cell r="H691">
            <v>122885.97521538399</v>
          </cell>
        </row>
        <row r="692">
          <cell r="A692">
            <v>2568</v>
          </cell>
          <cell r="B692" t="str">
            <v>Moyen</v>
          </cell>
          <cell r="D692" t="str">
            <v>*</v>
          </cell>
          <cell r="F692">
            <v>1</v>
          </cell>
          <cell r="G692">
            <v>0</v>
          </cell>
          <cell r="H692">
            <v>69043</v>
          </cell>
        </row>
        <row r="693">
          <cell r="A693">
            <v>2569</v>
          </cell>
          <cell r="B693" t="str">
            <v>Moyen</v>
          </cell>
          <cell r="D693" t="str">
            <v>*</v>
          </cell>
          <cell r="F693">
            <v>1</v>
          </cell>
          <cell r="G693">
            <v>0</v>
          </cell>
          <cell r="H693">
            <v>9887.1159129460502</v>
          </cell>
        </row>
        <row r="694">
          <cell r="A694">
            <v>2570</v>
          </cell>
          <cell r="B694" t="str">
            <v>Moyen</v>
          </cell>
          <cell r="D694" t="str">
            <v>*</v>
          </cell>
          <cell r="F694">
            <v>1</v>
          </cell>
          <cell r="G694">
            <v>0</v>
          </cell>
          <cell r="H694">
            <v>65964.335811871002</v>
          </cell>
        </row>
        <row r="695">
          <cell r="A695">
            <v>2571</v>
          </cell>
          <cell r="B695" t="str">
            <v>Moyen</v>
          </cell>
          <cell r="D695" t="str">
            <v>*</v>
          </cell>
          <cell r="F695">
            <v>1</v>
          </cell>
          <cell r="G695">
            <v>0</v>
          </cell>
          <cell r="H695">
            <v>26970.1180257575</v>
          </cell>
        </row>
        <row r="696">
          <cell r="A696">
            <v>2572</v>
          </cell>
          <cell r="B696" t="str">
            <v>Moyen</v>
          </cell>
          <cell r="D696" t="str">
            <v>*</v>
          </cell>
          <cell r="F696">
            <v>1</v>
          </cell>
          <cell r="G696">
            <v>0</v>
          </cell>
          <cell r="H696">
            <v>22669.193749999999</v>
          </cell>
        </row>
        <row r="697">
          <cell r="A697">
            <v>2573</v>
          </cell>
          <cell r="B697" t="str">
            <v>Moyen</v>
          </cell>
          <cell r="D697" t="str">
            <v>*</v>
          </cell>
          <cell r="F697">
            <v>1</v>
          </cell>
          <cell r="G697">
            <v>0</v>
          </cell>
          <cell r="H697">
            <v>767</v>
          </cell>
        </row>
        <row r="698">
          <cell r="A698">
            <v>2574</v>
          </cell>
          <cell r="B698" t="str">
            <v>Moyen</v>
          </cell>
          <cell r="D698" t="str">
            <v>*</v>
          </cell>
          <cell r="F698">
            <v>1</v>
          </cell>
          <cell r="G698">
            <v>0</v>
          </cell>
          <cell r="H698">
            <v>1</v>
          </cell>
        </row>
        <row r="699">
          <cell r="A699">
            <v>2575</v>
          </cell>
          <cell r="B699" t="str">
            <v>Moyen</v>
          </cell>
          <cell r="D699" t="str">
            <v>*</v>
          </cell>
          <cell r="F699">
            <v>1</v>
          </cell>
          <cell r="G699">
            <v>0</v>
          </cell>
          <cell r="H699">
            <v>3505</v>
          </cell>
        </row>
        <row r="700">
          <cell r="A700">
            <v>2576</v>
          </cell>
          <cell r="B700" t="str">
            <v>Moyen</v>
          </cell>
          <cell r="D700" t="str">
            <v>*</v>
          </cell>
          <cell r="F700">
            <v>1</v>
          </cell>
          <cell r="G700">
            <v>0</v>
          </cell>
          <cell r="H700">
            <v>205168.77277777699</v>
          </cell>
        </row>
        <row r="701">
          <cell r="A701">
            <v>2577</v>
          </cell>
          <cell r="B701" t="str">
            <v>Moyen</v>
          </cell>
          <cell r="D701" t="str">
            <v>*</v>
          </cell>
          <cell r="F701">
            <v>1</v>
          </cell>
          <cell r="G701">
            <v>0</v>
          </cell>
          <cell r="H701">
            <v>1907.96703296703</v>
          </cell>
        </row>
        <row r="702">
          <cell r="A702">
            <v>2578</v>
          </cell>
          <cell r="B702" t="str">
            <v>Moyen</v>
          </cell>
          <cell r="D702" t="str">
            <v>*</v>
          </cell>
          <cell r="F702">
            <v>1</v>
          </cell>
          <cell r="G702">
            <v>0</v>
          </cell>
          <cell r="H702">
            <v>198103</v>
          </cell>
        </row>
        <row r="703">
          <cell r="A703">
            <v>2579</v>
          </cell>
          <cell r="B703" t="str">
            <v>Moyen</v>
          </cell>
          <cell r="D703" t="str">
            <v>*</v>
          </cell>
          <cell r="F703">
            <v>1</v>
          </cell>
          <cell r="G703">
            <v>0</v>
          </cell>
          <cell r="H703">
            <v>12594.980132450301</v>
          </cell>
        </row>
        <row r="704">
          <cell r="A704">
            <v>2580</v>
          </cell>
          <cell r="B704" t="str">
            <v>Moyen</v>
          </cell>
          <cell r="D704" t="str">
            <v>*</v>
          </cell>
          <cell r="F704">
            <v>1</v>
          </cell>
          <cell r="G704">
            <v>0</v>
          </cell>
          <cell r="H704">
            <v>0</v>
          </cell>
        </row>
        <row r="705">
          <cell r="A705">
            <v>2581</v>
          </cell>
          <cell r="B705" t="str">
            <v>Moyen</v>
          </cell>
          <cell r="D705" t="str">
            <v>*</v>
          </cell>
          <cell r="F705">
            <v>1</v>
          </cell>
          <cell r="G705">
            <v>0</v>
          </cell>
          <cell r="H705">
            <v>0</v>
          </cell>
        </row>
        <row r="706">
          <cell r="A706">
            <v>2582</v>
          </cell>
          <cell r="B706" t="str">
            <v>Moyen</v>
          </cell>
          <cell r="D706" t="str">
            <v>*</v>
          </cell>
          <cell r="F706">
            <v>1</v>
          </cell>
          <cell r="G706">
            <v>0</v>
          </cell>
          <cell r="H706">
            <v>0</v>
          </cell>
        </row>
        <row r="707">
          <cell r="A707">
            <v>2583</v>
          </cell>
          <cell r="B707" t="str">
            <v>Moyen</v>
          </cell>
          <cell r="D707" t="str">
            <v>*</v>
          </cell>
          <cell r="F707">
            <v>1</v>
          </cell>
          <cell r="G707">
            <v>0</v>
          </cell>
          <cell r="H707">
            <v>4292</v>
          </cell>
        </row>
        <row r="708">
          <cell r="A708">
            <v>2584</v>
          </cell>
          <cell r="B708" t="str">
            <v>Moyen</v>
          </cell>
          <cell r="D708" t="str">
            <v>*</v>
          </cell>
          <cell r="F708">
            <v>1</v>
          </cell>
          <cell r="G708">
            <v>0</v>
          </cell>
          <cell r="H708">
            <v>0</v>
          </cell>
        </row>
        <row r="709">
          <cell r="A709">
            <v>2585</v>
          </cell>
          <cell r="B709" t="str">
            <v>Moyen</v>
          </cell>
          <cell r="D709" t="str">
            <v>*</v>
          </cell>
          <cell r="F709">
            <v>1</v>
          </cell>
          <cell r="G709">
            <v>0</v>
          </cell>
          <cell r="H709">
            <v>1</v>
          </cell>
        </row>
        <row r="710">
          <cell r="A710">
            <v>2586</v>
          </cell>
          <cell r="B710" t="str">
            <v>Moyen</v>
          </cell>
          <cell r="D710" t="str">
            <v>*</v>
          </cell>
          <cell r="F710">
            <v>1</v>
          </cell>
          <cell r="G710">
            <v>0</v>
          </cell>
          <cell r="H710">
            <v>1248</v>
          </cell>
        </row>
        <row r="711">
          <cell r="A711">
            <v>2587</v>
          </cell>
          <cell r="B711" t="str">
            <v>Moyen</v>
          </cell>
          <cell r="D711" t="str">
            <v>*</v>
          </cell>
          <cell r="F711">
            <v>1</v>
          </cell>
          <cell r="G711">
            <v>0</v>
          </cell>
          <cell r="H711">
            <v>0</v>
          </cell>
        </row>
        <row r="712">
          <cell r="A712">
            <v>2588</v>
          </cell>
          <cell r="B712" t="str">
            <v>Moyen</v>
          </cell>
          <cell r="D712" t="str">
            <v>*</v>
          </cell>
          <cell r="F712">
            <v>1</v>
          </cell>
          <cell r="G712">
            <v>0</v>
          </cell>
          <cell r="H712">
            <v>1500</v>
          </cell>
        </row>
        <row r="713">
          <cell r="A713">
            <v>2589</v>
          </cell>
          <cell r="B713" t="str">
            <v>Moyen</v>
          </cell>
          <cell r="D713" t="str">
            <v>*</v>
          </cell>
          <cell r="F713">
            <v>1</v>
          </cell>
          <cell r="G713">
            <v>0</v>
          </cell>
          <cell r="H713">
            <v>58892</v>
          </cell>
        </row>
        <row r="714">
          <cell r="A714">
            <v>2590</v>
          </cell>
          <cell r="B714" t="str">
            <v>Moyen</v>
          </cell>
          <cell r="D714" t="str">
            <v>*</v>
          </cell>
          <cell r="F714">
            <v>1</v>
          </cell>
          <cell r="G714">
            <v>0</v>
          </cell>
          <cell r="H714">
            <v>1418.0830903323799</v>
          </cell>
        </row>
        <row r="715">
          <cell r="A715">
            <v>2591</v>
          </cell>
          <cell r="B715" t="str">
            <v>Moyen</v>
          </cell>
          <cell r="D715" t="str">
            <v>*</v>
          </cell>
          <cell r="F715">
            <v>1</v>
          </cell>
          <cell r="G715">
            <v>0</v>
          </cell>
          <cell r="H715">
            <v>28228.004016609801</v>
          </cell>
        </row>
        <row r="716">
          <cell r="A716">
            <v>2592</v>
          </cell>
          <cell r="B716" t="str">
            <v>Moyen</v>
          </cell>
          <cell r="D716" t="str">
            <v>*</v>
          </cell>
          <cell r="F716">
            <v>1</v>
          </cell>
          <cell r="G716">
            <v>0</v>
          </cell>
          <cell r="H716">
            <v>19253.186371658601</v>
          </cell>
        </row>
        <row r="717">
          <cell r="A717">
            <v>2593</v>
          </cell>
          <cell r="B717" t="str">
            <v>Moyen</v>
          </cell>
          <cell r="D717" t="str">
            <v>*</v>
          </cell>
          <cell r="F717">
            <v>1</v>
          </cell>
          <cell r="G717">
            <v>0</v>
          </cell>
          <cell r="H717">
            <v>20345.824483950601</v>
          </cell>
        </row>
        <row r="718">
          <cell r="A718">
            <v>2594</v>
          </cell>
          <cell r="B718" t="str">
            <v>Moyen</v>
          </cell>
          <cell r="D718" t="str">
            <v>*</v>
          </cell>
          <cell r="F718">
            <v>1</v>
          </cell>
          <cell r="G718">
            <v>0</v>
          </cell>
          <cell r="H718">
            <v>0</v>
          </cell>
        </row>
        <row r="719">
          <cell r="A719">
            <v>2595</v>
          </cell>
          <cell r="B719" t="str">
            <v>Moyen</v>
          </cell>
          <cell r="D719" t="str">
            <v>*</v>
          </cell>
          <cell r="F719">
            <v>1</v>
          </cell>
          <cell r="G719">
            <v>0</v>
          </cell>
          <cell r="H719">
            <v>11.046791701913801</v>
          </cell>
        </row>
        <row r="720">
          <cell r="A720">
            <v>2596</v>
          </cell>
          <cell r="B720" t="str">
            <v>Moyen</v>
          </cell>
          <cell r="D720" t="str">
            <v>*</v>
          </cell>
          <cell r="F720">
            <v>1</v>
          </cell>
          <cell r="G720">
            <v>0</v>
          </cell>
          <cell r="H720">
            <v>0</v>
          </cell>
        </row>
        <row r="721">
          <cell r="A721">
            <v>2597</v>
          </cell>
          <cell r="B721" t="str">
            <v>Moyen</v>
          </cell>
          <cell r="D721" t="str">
            <v>*</v>
          </cell>
          <cell r="F721">
            <v>1</v>
          </cell>
          <cell r="G721">
            <v>0</v>
          </cell>
          <cell r="H721">
            <v>33454</v>
          </cell>
        </row>
        <row r="722">
          <cell r="A722">
            <v>2598</v>
          </cell>
          <cell r="B722" t="str">
            <v>Moyen</v>
          </cell>
          <cell r="D722" t="str">
            <v>*</v>
          </cell>
          <cell r="F722">
            <v>1</v>
          </cell>
          <cell r="G722">
            <v>0</v>
          </cell>
          <cell r="H722">
            <v>204147</v>
          </cell>
        </row>
        <row r="723">
          <cell r="A723">
            <v>2599</v>
          </cell>
          <cell r="B723" t="str">
            <v>Moyen</v>
          </cell>
          <cell r="D723" t="str">
            <v>*</v>
          </cell>
          <cell r="F723">
            <v>1</v>
          </cell>
          <cell r="G723">
            <v>0</v>
          </cell>
          <cell r="H723">
            <v>1837</v>
          </cell>
        </row>
        <row r="724">
          <cell r="A724">
            <v>2600</v>
          </cell>
          <cell r="B724" t="str">
            <v>Moyen</v>
          </cell>
          <cell r="D724" t="str">
            <v>*</v>
          </cell>
          <cell r="F724">
            <v>1</v>
          </cell>
          <cell r="G724">
            <v>0</v>
          </cell>
          <cell r="H724">
            <v>234382</v>
          </cell>
        </row>
        <row r="725">
          <cell r="A725">
            <v>2601</v>
          </cell>
          <cell r="B725" t="str">
            <v>Moyen</v>
          </cell>
          <cell r="D725" t="str">
            <v>*</v>
          </cell>
          <cell r="F725">
            <v>1</v>
          </cell>
          <cell r="G725">
            <v>0</v>
          </cell>
          <cell r="H725">
            <v>1885318.81</v>
          </cell>
        </row>
        <row r="726">
          <cell r="A726">
            <v>2602</v>
          </cell>
          <cell r="B726" t="str">
            <v>Moyen</v>
          </cell>
          <cell r="D726" t="str">
            <v>*</v>
          </cell>
          <cell r="F726">
            <v>1</v>
          </cell>
          <cell r="G726">
            <v>0</v>
          </cell>
          <cell r="H726">
            <v>0</v>
          </cell>
        </row>
        <row r="727">
          <cell r="A727">
            <v>2603</v>
          </cell>
          <cell r="B727" t="str">
            <v>Moyen</v>
          </cell>
          <cell r="D727" t="str">
            <v>*</v>
          </cell>
          <cell r="F727">
            <v>1</v>
          </cell>
          <cell r="G727">
            <v>0</v>
          </cell>
          <cell r="H727">
            <v>5025</v>
          </cell>
        </row>
        <row r="728">
          <cell r="A728">
            <v>2604</v>
          </cell>
          <cell r="B728" t="str">
            <v>Moyen</v>
          </cell>
          <cell r="D728" t="str">
            <v>*</v>
          </cell>
          <cell r="F728">
            <v>1</v>
          </cell>
          <cell r="G728">
            <v>0</v>
          </cell>
          <cell r="H728">
            <v>0</v>
          </cell>
        </row>
        <row r="729">
          <cell r="A729">
            <v>2605</v>
          </cell>
          <cell r="B729" t="str">
            <v>Moyen</v>
          </cell>
          <cell r="D729" t="str">
            <v>*</v>
          </cell>
          <cell r="F729">
            <v>1</v>
          </cell>
          <cell r="G729">
            <v>0</v>
          </cell>
          <cell r="H729">
            <v>19500</v>
          </cell>
        </row>
        <row r="730">
          <cell r="A730">
            <v>2606</v>
          </cell>
          <cell r="B730" t="str">
            <v>Moyen</v>
          </cell>
          <cell r="D730" t="str">
            <v>*</v>
          </cell>
          <cell r="F730">
            <v>1</v>
          </cell>
          <cell r="G730">
            <v>0</v>
          </cell>
          <cell r="H730">
            <v>0</v>
          </cell>
        </row>
        <row r="731">
          <cell r="A731">
            <v>2607</v>
          </cell>
          <cell r="B731" t="str">
            <v>Moyen</v>
          </cell>
          <cell r="D731" t="str">
            <v>*</v>
          </cell>
          <cell r="F731">
            <v>1</v>
          </cell>
          <cell r="G731">
            <v>0</v>
          </cell>
          <cell r="H731">
            <v>293578.30816233798</v>
          </cell>
        </row>
        <row r="732">
          <cell r="A732">
            <v>2608</v>
          </cell>
          <cell r="B732" t="str">
            <v>Moyen</v>
          </cell>
          <cell r="D732" t="str">
            <v>*</v>
          </cell>
          <cell r="F732">
            <v>1</v>
          </cell>
          <cell r="G732">
            <v>0</v>
          </cell>
          <cell r="H732">
            <v>0</v>
          </cell>
        </row>
        <row r="733">
          <cell r="A733">
            <v>2609</v>
          </cell>
          <cell r="B733" t="str">
            <v>Moyen</v>
          </cell>
          <cell r="D733" t="str">
            <v>*</v>
          </cell>
          <cell r="F733">
            <v>1</v>
          </cell>
          <cell r="G733">
            <v>0</v>
          </cell>
          <cell r="H733">
            <v>2051</v>
          </cell>
        </row>
        <row r="734">
          <cell r="A734">
            <v>2610</v>
          </cell>
          <cell r="B734" t="str">
            <v>Moyen</v>
          </cell>
          <cell r="D734" t="str">
            <v>*</v>
          </cell>
          <cell r="F734">
            <v>1</v>
          </cell>
          <cell r="G734">
            <v>0</v>
          </cell>
          <cell r="H734">
            <v>0</v>
          </cell>
        </row>
        <row r="735">
          <cell r="A735">
            <v>2611</v>
          </cell>
          <cell r="B735" t="str">
            <v>Moyen</v>
          </cell>
          <cell r="D735" t="str">
            <v>*</v>
          </cell>
          <cell r="F735">
            <v>1</v>
          </cell>
          <cell r="G735">
            <v>0</v>
          </cell>
          <cell r="H735">
            <v>10266</v>
          </cell>
        </row>
        <row r="736">
          <cell r="A736">
            <v>2612</v>
          </cell>
          <cell r="B736" t="str">
            <v>Moyen</v>
          </cell>
          <cell r="D736" t="str">
            <v>*</v>
          </cell>
          <cell r="F736">
            <v>1</v>
          </cell>
          <cell r="G736">
            <v>0</v>
          </cell>
          <cell r="H736">
            <v>600</v>
          </cell>
        </row>
        <row r="737">
          <cell r="A737">
            <v>2613</v>
          </cell>
          <cell r="B737" t="str">
            <v>Moyen</v>
          </cell>
          <cell r="D737" t="str">
            <v>*</v>
          </cell>
          <cell r="F737">
            <v>1</v>
          </cell>
          <cell r="G737">
            <v>0</v>
          </cell>
          <cell r="H737">
            <v>43752.331899999997</v>
          </cell>
        </row>
        <row r="738">
          <cell r="A738">
            <v>2614</v>
          </cell>
          <cell r="B738" t="str">
            <v>Moyen</v>
          </cell>
          <cell r="D738" t="str">
            <v>*</v>
          </cell>
          <cell r="F738">
            <v>1</v>
          </cell>
          <cell r="G738">
            <v>0</v>
          </cell>
          <cell r="H738">
            <v>19298</v>
          </cell>
        </row>
        <row r="739">
          <cell r="A739">
            <v>2615</v>
          </cell>
          <cell r="B739" t="str">
            <v>Moyen</v>
          </cell>
          <cell r="D739" t="str">
            <v>*</v>
          </cell>
          <cell r="F739">
            <v>1</v>
          </cell>
          <cell r="G739">
            <v>0</v>
          </cell>
          <cell r="H739">
            <v>0</v>
          </cell>
        </row>
        <row r="740">
          <cell r="A740">
            <v>2616</v>
          </cell>
          <cell r="B740" t="str">
            <v>Moyen</v>
          </cell>
          <cell r="D740" t="str">
            <v>*</v>
          </cell>
          <cell r="F740">
            <v>1</v>
          </cell>
          <cell r="G740">
            <v>0</v>
          </cell>
          <cell r="H740">
            <v>31234</v>
          </cell>
        </row>
        <row r="741">
          <cell r="A741">
            <v>2617</v>
          </cell>
          <cell r="B741" t="str">
            <v>Moyen</v>
          </cell>
          <cell r="D741" t="str">
            <v>*</v>
          </cell>
          <cell r="F741">
            <v>1</v>
          </cell>
          <cell r="G741">
            <v>0</v>
          </cell>
          <cell r="H741">
            <v>0</v>
          </cell>
        </row>
        <row r="742">
          <cell r="A742">
            <v>2618</v>
          </cell>
          <cell r="B742" t="str">
            <v>Moyen</v>
          </cell>
          <cell r="D742" t="str">
            <v>*</v>
          </cell>
          <cell r="F742">
            <v>1</v>
          </cell>
          <cell r="G742">
            <v>0</v>
          </cell>
          <cell r="H742">
            <v>819290</v>
          </cell>
        </row>
        <row r="743">
          <cell r="A743">
            <v>2619</v>
          </cell>
          <cell r="B743" t="str">
            <v>Moyen</v>
          </cell>
          <cell r="D743" t="str">
            <v>*</v>
          </cell>
          <cell r="F743">
            <v>1</v>
          </cell>
          <cell r="G743">
            <v>0</v>
          </cell>
          <cell r="H743">
            <v>68875</v>
          </cell>
        </row>
        <row r="744">
          <cell r="A744">
            <v>2620</v>
          </cell>
          <cell r="B744" t="str">
            <v>Moyen</v>
          </cell>
          <cell r="D744" t="str">
            <v>*</v>
          </cell>
          <cell r="F744">
            <v>1</v>
          </cell>
          <cell r="G744">
            <v>0</v>
          </cell>
          <cell r="H744">
            <v>134786</v>
          </cell>
        </row>
        <row r="745">
          <cell r="A745">
            <v>2621</v>
          </cell>
          <cell r="B745" t="str">
            <v>Moyen</v>
          </cell>
          <cell r="D745" t="str">
            <v>*</v>
          </cell>
          <cell r="F745">
            <v>1</v>
          </cell>
          <cell r="G745">
            <v>0</v>
          </cell>
          <cell r="H745">
            <v>0</v>
          </cell>
        </row>
        <row r="746">
          <cell r="A746">
            <v>2622</v>
          </cell>
          <cell r="B746" t="str">
            <v>Moyen</v>
          </cell>
          <cell r="D746" t="str">
            <v>*</v>
          </cell>
          <cell r="F746">
            <v>1</v>
          </cell>
          <cell r="G746">
            <v>0</v>
          </cell>
          <cell r="H746">
            <v>1047</v>
          </cell>
        </row>
        <row r="747">
          <cell r="A747">
            <v>2623</v>
          </cell>
          <cell r="B747" t="str">
            <v>Moyen</v>
          </cell>
          <cell r="D747" t="str">
            <v>*</v>
          </cell>
          <cell r="F747">
            <v>1</v>
          </cell>
          <cell r="G747">
            <v>0</v>
          </cell>
          <cell r="H747">
            <v>56674.684800000003</v>
          </cell>
        </row>
        <row r="748">
          <cell r="A748">
            <v>2624</v>
          </cell>
          <cell r="B748" t="str">
            <v>Moyen</v>
          </cell>
          <cell r="D748" t="str">
            <v>*</v>
          </cell>
          <cell r="F748">
            <v>1</v>
          </cell>
          <cell r="G748">
            <v>0</v>
          </cell>
          <cell r="H748">
            <v>7380</v>
          </cell>
        </row>
        <row r="749">
          <cell r="A749">
            <v>2625</v>
          </cell>
          <cell r="B749" t="str">
            <v>Moyen</v>
          </cell>
          <cell r="D749" t="str">
            <v>*</v>
          </cell>
          <cell r="F749">
            <v>1</v>
          </cell>
          <cell r="G749">
            <v>0</v>
          </cell>
          <cell r="H749">
            <v>56438.540280000001</v>
          </cell>
        </row>
        <row r="750">
          <cell r="A750">
            <v>2626</v>
          </cell>
          <cell r="B750" t="str">
            <v>Moyen</v>
          </cell>
          <cell r="D750" t="str">
            <v>*</v>
          </cell>
          <cell r="F750">
            <v>1</v>
          </cell>
          <cell r="G750">
            <v>0</v>
          </cell>
          <cell r="H750">
            <v>0</v>
          </cell>
        </row>
        <row r="751">
          <cell r="A751">
            <v>2627</v>
          </cell>
          <cell r="B751" t="str">
            <v>Moyen</v>
          </cell>
          <cell r="D751" t="str">
            <v>*</v>
          </cell>
          <cell r="F751">
            <v>1</v>
          </cell>
          <cell r="G751">
            <v>0</v>
          </cell>
          <cell r="H751">
            <v>0</v>
          </cell>
        </row>
        <row r="752">
          <cell r="A752">
            <v>2628</v>
          </cell>
          <cell r="B752" t="str">
            <v>Moyen</v>
          </cell>
          <cell r="D752" t="str">
            <v>*</v>
          </cell>
          <cell r="F752">
            <v>1</v>
          </cell>
          <cell r="G752">
            <v>0</v>
          </cell>
          <cell r="H752">
            <v>1</v>
          </cell>
        </row>
        <row r="753">
          <cell r="A753">
            <v>2629</v>
          </cell>
          <cell r="B753" t="str">
            <v>Moyen</v>
          </cell>
          <cell r="D753" t="str">
            <v>*</v>
          </cell>
          <cell r="F753">
            <v>1</v>
          </cell>
          <cell r="G753">
            <v>0</v>
          </cell>
          <cell r="H753">
            <v>32319</v>
          </cell>
        </row>
        <row r="754">
          <cell r="A754">
            <v>2630</v>
          </cell>
          <cell r="B754" t="str">
            <v>Moyen</v>
          </cell>
          <cell r="D754" t="str">
            <v>*</v>
          </cell>
          <cell r="F754">
            <v>1</v>
          </cell>
          <cell r="G754">
            <v>0</v>
          </cell>
          <cell r="H754">
            <v>1946.8786435786401</v>
          </cell>
        </row>
        <row r="755">
          <cell r="A755">
            <v>2631</v>
          </cell>
          <cell r="B755" t="str">
            <v>Moyen</v>
          </cell>
          <cell r="D755" t="str">
            <v>*</v>
          </cell>
          <cell r="F755">
            <v>1</v>
          </cell>
          <cell r="G755">
            <v>0</v>
          </cell>
          <cell r="H755">
            <v>8711</v>
          </cell>
        </row>
        <row r="756">
          <cell r="A756">
            <v>2632</v>
          </cell>
          <cell r="B756" t="str">
            <v>Moyen</v>
          </cell>
          <cell r="D756" t="str">
            <v>*</v>
          </cell>
          <cell r="F756">
            <v>1</v>
          </cell>
          <cell r="G756">
            <v>0</v>
          </cell>
          <cell r="H756">
            <v>0</v>
          </cell>
        </row>
        <row r="757">
          <cell r="A757">
            <v>2633</v>
          </cell>
          <cell r="B757" t="str">
            <v>Moyen</v>
          </cell>
          <cell r="D757" t="str">
            <v>*</v>
          </cell>
          <cell r="F757">
            <v>1</v>
          </cell>
          <cell r="G757">
            <v>0</v>
          </cell>
          <cell r="H757">
            <v>577</v>
          </cell>
        </row>
        <row r="758">
          <cell r="A758">
            <v>2634</v>
          </cell>
          <cell r="B758" t="str">
            <v>Moyen</v>
          </cell>
          <cell r="D758" t="str">
            <v>*</v>
          </cell>
          <cell r="F758">
            <v>1</v>
          </cell>
          <cell r="G758">
            <v>0</v>
          </cell>
          <cell r="H758">
            <v>98394</v>
          </cell>
        </row>
        <row r="759">
          <cell r="A759">
            <v>2635</v>
          </cell>
          <cell r="B759" t="str">
            <v>Moyen</v>
          </cell>
          <cell r="D759" t="str">
            <v>*</v>
          </cell>
          <cell r="F759">
            <v>1</v>
          </cell>
          <cell r="G759">
            <v>0</v>
          </cell>
          <cell r="H759">
            <v>1</v>
          </cell>
        </row>
        <row r="760">
          <cell r="A760">
            <v>2636</v>
          </cell>
          <cell r="B760" t="str">
            <v>Moyen</v>
          </cell>
          <cell r="D760" t="str">
            <v>*</v>
          </cell>
          <cell r="F760">
            <v>1</v>
          </cell>
          <cell r="G760">
            <v>0</v>
          </cell>
          <cell r="H760">
            <v>43693</v>
          </cell>
        </row>
        <row r="761">
          <cell r="A761">
            <v>2637</v>
          </cell>
          <cell r="B761" t="str">
            <v>Moyen</v>
          </cell>
          <cell r="D761" t="str">
            <v>*</v>
          </cell>
          <cell r="F761">
            <v>1</v>
          </cell>
          <cell r="G761">
            <v>0</v>
          </cell>
          <cell r="H761">
            <v>200</v>
          </cell>
        </row>
        <row r="762">
          <cell r="A762">
            <v>2638</v>
          </cell>
          <cell r="B762" t="str">
            <v>Moyen</v>
          </cell>
          <cell r="D762" t="str">
            <v>*</v>
          </cell>
          <cell r="F762">
            <v>1</v>
          </cell>
          <cell r="G762">
            <v>0</v>
          </cell>
          <cell r="H762">
            <v>5097</v>
          </cell>
        </row>
        <row r="763">
          <cell r="A763">
            <v>2639</v>
          </cell>
          <cell r="B763" t="str">
            <v>Moyen</v>
          </cell>
          <cell r="D763" t="str">
            <v>*</v>
          </cell>
          <cell r="F763">
            <v>1</v>
          </cell>
          <cell r="G763">
            <v>0</v>
          </cell>
          <cell r="H763">
            <v>0</v>
          </cell>
        </row>
        <row r="764">
          <cell r="A764">
            <v>2640</v>
          </cell>
          <cell r="B764" t="str">
            <v>Moyen</v>
          </cell>
          <cell r="D764" t="str">
            <v>*</v>
          </cell>
          <cell r="F764">
            <v>1</v>
          </cell>
          <cell r="G764">
            <v>0</v>
          </cell>
          <cell r="H764">
            <v>45000</v>
          </cell>
        </row>
        <row r="765">
          <cell r="A765">
            <v>2641</v>
          </cell>
          <cell r="B765" t="str">
            <v>Moyen</v>
          </cell>
          <cell r="D765" t="str">
            <v>*</v>
          </cell>
          <cell r="F765">
            <v>1</v>
          </cell>
          <cell r="G765">
            <v>0</v>
          </cell>
          <cell r="H765">
            <v>11660</v>
          </cell>
        </row>
        <row r="766">
          <cell r="A766">
            <v>2642</v>
          </cell>
          <cell r="B766" t="str">
            <v>Moyen</v>
          </cell>
          <cell r="D766" t="str">
            <v>*</v>
          </cell>
          <cell r="F766">
            <v>1</v>
          </cell>
          <cell r="G766">
            <v>0</v>
          </cell>
          <cell r="H766">
            <v>1929</v>
          </cell>
        </row>
        <row r="767">
          <cell r="A767">
            <v>2643</v>
          </cell>
          <cell r="B767" t="str">
            <v>Moyen</v>
          </cell>
          <cell r="D767" t="str">
            <v>*</v>
          </cell>
          <cell r="F767">
            <v>1</v>
          </cell>
          <cell r="G767">
            <v>0</v>
          </cell>
          <cell r="H767">
            <v>23539</v>
          </cell>
        </row>
        <row r="768">
          <cell r="A768">
            <v>2644</v>
          </cell>
          <cell r="B768" t="str">
            <v>Moyen</v>
          </cell>
          <cell r="D768" t="str">
            <v>*</v>
          </cell>
          <cell r="F768">
            <v>1</v>
          </cell>
          <cell r="G768">
            <v>0</v>
          </cell>
          <cell r="H768">
            <v>0</v>
          </cell>
        </row>
        <row r="769">
          <cell r="A769">
            <v>2645</v>
          </cell>
          <cell r="B769" t="str">
            <v>Moyen</v>
          </cell>
          <cell r="D769" t="str">
            <v>*</v>
          </cell>
          <cell r="F769">
            <v>1</v>
          </cell>
          <cell r="G769">
            <v>0</v>
          </cell>
          <cell r="H769">
            <v>36412</v>
          </cell>
        </row>
        <row r="770">
          <cell r="A770">
            <v>2646</v>
          </cell>
          <cell r="B770" t="str">
            <v>Moyen</v>
          </cell>
          <cell r="D770" t="str">
            <v>*</v>
          </cell>
          <cell r="F770">
            <v>1</v>
          </cell>
          <cell r="G770">
            <v>0</v>
          </cell>
          <cell r="H770">
            <v>10495</v>
          </cell>
        </row>
        <row r="771">
          <cell r="A771">
            <v>2647</v>
          </cell>
          <cell r="B771" t="str">
            <v>Moyen</v>
          </cell>
          <cell r="D771" t="str">
            <v>*</v>
          </cell>
          <cell r="F771">
            <v>1</v>
          </cell>
          <cell r="G771">
            <v>0</v>
          </cell>
          <cell r="H771">
            <v>0</v>
          </cell>
        </row>
        <row r="772">
          <cell r="A772">
            <v>2648</v>
          </cell>
          <cell r="B772" t="str">
            <v>Moyen</v>
          </cell>
          <cell r="D772" t="str">
            <v>*</v>
          </cell>
          <cell r="F772">
            <v>1</v>
          </cell>
          <cell r="G772">
            <v>0</v>
          </cell>
          <cell r="H772">
            <v>0</v>
          </cell>
        </row>
        <row r="773">
          <cell r="A773">
            <v>2649</v>
          </cell>
          <cell r="B773" t="str">
            <v>Moyen</v>
          </cell>
          <cell r="D773" t="str">
            <v>*</v>
          </cell>
          <cell r="F773">
            <v>1</v>
          </cell>
          <cell r="G773">
            <v>0</v>
          </cell>
          <cell r="H773">
            <v>0</v>
          </cell>
        </row>
        <row r="774">
          <cell r="A774">
            <v>2650</v>
          </cell>
          <cell r="B774" t="str">
            <v>Moyen</v>
          </cell>
          <cell r="D774" t="str">
            <v>*</v>
          </cell>
          <cell r="F774">
            <v>1</v>
          </cell>
          <cell r="G774">
            <v>0</v>
          </cell>
          <cell r="H774">
            <v>6500</v>
          </cell>
        </row>
        <row r="775">
          <cell r="A775">
            <v>2651</v>
          </cell>
          <cell r="B775" t="str">
            <v>Moyen</v>
          </cell>
          <cell r="D775" t="str">
            <v>*</v>
          </cell>
          <cell r="F775">
            <v>1</v>
          </cell>
          <cell r="G775">
            <v>0</v>
          </cell>
          <cell r="H775">
            <v>112</v>
          </cell>
        </row>
        <row r="776">
          <cell r="A776">
            <v>2652</v>
          </cell>
          <cell r="B776" t="str">
            <v>Moyen</v>
          </cell>
          <cell r="D776" t="str">
            <v>*</v>
          </cell>
          <cell r="F776">
            <v>1</v>
          </cell>
          <cell r="G776">
            <v>0</v>
          </cell>
          <cell r="H776">
            <v>122315</v>
          </cell>
        </row>
        <row r="777">
          <cell r="A777">
            <v>2653</v>
          </cell>
          <cell r="B777" t="str">
            <v>Moyen</v>
          </cell>
          <cell r="D777" t="str">
            <v>*</v>
          </cell>
          <cell r="F777">
            <v>1</v>
          </cell>
          <cell r="G777">
            <v>0</v>
          </cell>
          <cell r="H777">
            <v>0</v>
          </cell>
        </row>
        <row r="778">
          <cell r="A778">
            <v>2654</v>
          </cell>
          <cell r="B778" t="str">
            <v>Moyen</v>
          </cell>
          <cell r="D778" t="str">
            <v>*</v>
          </cell>
          <cell r="F778">
            <v>1</v>
          </cell>
          <cell r="G778">
            <v>0</v>
          </cell>
          <cell r="H778">
            <v>225942.11300000001</v>
          </cell>
        </row>
        <row r="779">
          <cell r="A779">
            <v>2655</v>
          </cell>
          <cell r="B779" t="str">
            <v>Moyen</v>
          </cell>
          <cell r="D779" t="str">
            <v>*</v>
          </cell>
          <cell r="F779">
            <v>1</v>
          </cell>
          <cell r="G779">
            <v>0</v>
          </cell>
          <cell r="H779">
            <v>189044</v>
          </cell>
        </row>
        <row r="780">
          <cell r="A780">
            <v>2656</v>
          </cell>
          <cell r="B780" t="str">
            <v>Moyen</v>
          </cell>
          <cell r="D780" t="str">
            <v>*</v>
          </cell>
          <cell r="F780">
            <v>1</v>
          </cell>
          <cell r="G780">
            <v>0</v>
          </cell>
          <cell r="H780">
            <v>50292</v>
          </cell>
        </row>
        <row r="781">
          <cell r="A781">
            <v>2657</v>
          </cell>
          <cell r="B781" t="str">
            <v>Moyen</v>
          </cell>
          <cell r="D781" t="str">
            <v>*</v>
          </cell>
          <cell r="F781">
            <v>1</v>
          </cell>
          <cell r="G781">
            <v>0</v>
          </cell>
          <cell r="H781">
            <v>50</v>
          </cell>
        </row>
        <row r="782">
          <cell r="A782">
            <v>2658</v>
          </cell>
          <cell r="B782" t="str">
            <v>Moyen</v>
          </cell>
          <cell r="D782" t="str">
            <v>*</v>
          </cell>
          <cell r="F782">
            <v>1</v>
          </cell>
          <cell r="G782">
            <v>0</v>
          </cell>
          <cell r="H782">
            <v>43333</v>
          </cell>
        </row>
        <row r="783">
          <cell r="A783">
            <v>2659</v>
          </cell>
          <cell r="B783" t="str">
            <v>Moyen</v>
          </cell>
          <cell r="D783" t="str">
            <v>*</v>
          </cell>
          <cell r="F783">
            <v>1</v>
          </cell>
          <cell r="G783">
            <v>0</v>
          </cell>
          <cell r="H783">
            <v>0</v>
          </cell>
        </row>
        <row r="784">
          <cell r="A784">
            <v>2660</v>
          </cell>
          <cell r="B784" t="str">
            <v>Moyen</v>
          </cell>
          <cell r="D784" t="str">
            <v>*</v>
          </cell>
          <cell r="F784">
            <v>1</v>
          </cell>
          <cell r="G784">
            <v>0</v>
          </cell>
          <cell r="H784">
            <v>0</v>
          </cell>
        </row>
        <row r="785">
          <cell r="A785">
            <v>2661</v>
          </cell>
          <cell r="B785" t="str">
            <v>Moyen</v>
          </cell>
          <cell r="D785" t="str">
            <v>*</v>
          </cell>
          <cell r="F785">
            <v>1</v>
          </cell>
          <cell r="G785">
            <v>0</v>
          </cell>
          <cell r="H785">
            <v>1231</v>
          </cell>
        </row>
        <row r="786">
          <cell r="A786">
            <v>2662</v>
          </cell>
          <cell r="B786" t="str">
            <v>Moyen</v>
          </cell>
          <cell r="D786" t="str">
            <v>*</v>
          </cell>
          <cell r="F786">
            <v>1</v>
          </cell>
          <cell r="G786">
            <v>0</v>
          </cell>
          <cell r="H786">
            <v>1179</v>
          </cell>
        </row>
        <row r="787">
          <cell r="A787">
            <v>2663</v>
          </cell>
          <cell r="B787" t="str">
            <v>Moyen</v>
          </cell>
          <cell r="D787" t="str">
            <v>*</v>
          </cell>
          <cell r="F787">
            <v>1</v>
          </cell>
          <cell r="G787">
            <v>0</v>
          </cell>
          <cell r="H787">
            <v>2112</v>
          </cell>
        </row>
        <row r="788">
          <cell r="A788">
            <v>2664</v>
          </cell>
          <cell r="B788" t="str">
            <v>Moyen</v>
          </cell>
          <cell r="D788" t="str">
            <v>*</v>
          </cell>
          <cell r="F788">
            <v>1</v>
          </cell>
          <cell r="G788">
            <v>0</v>
          </cell>
          <cell r="H788">
            <v>380</v>
          </cell>
        </row>
        <row r="789">
          <cell r="A789">
            <v>2665</v>
          </cell>
          <cell r="B789" t="str">
            <v>Moyen</v>
          </cell>
          <cell r="D789" t="str">
            <v>*</v>
          </cell>
          <cell r="F789">
            <v>1</v>
          </cell>
          <cell r="G789">
            <v>0</v>
          </cell>
          <cell r="H789">
            <v>96283</v>
          </cell>
        </row>
        <row r="790">
          <cell r="A790">
            <v>2666</v>
          </cell>
          <cell r="B790" t="str">
            <v>Moyen</v>
          </cell>
          <cell r="D790" t="str">
            <v>*</v>
          </cell>
          <cell r="F790">
            <v>1</v>
          </cell>
          <cell r="G790">
            <v>0</v>
          </cell>
          <cell r="H790">
            <v>343605</v>
          </cell>
        </row>
        <row r="791">
          <cell r="A791">
            <v>2667</v>
          </cell>
          <cell r="B791" t="str">
            <v>Moyen</v>
          </cell>
          <cell r="D791" t="str">
            <v>*</v>
          </cell>
          <cell r="F791">
            <v>1</v>
          </cell>
          <cell r="G791">
            <v>0</v>
          </cell>
          <cell r="H791">
            <v>0</v>
          </cell>
        </row>
        <row r="792">
          <cell r="A792">
            <v>2668</v>
          </cell>
          <cell r="B792" t="str">
            <v>Moyen</v>
          </cell>
          <cell r="D792" t="str">
            <v>*</v>
          </cell>
          <cell r="F792">
            <v>1</v>
          </cell>
          <cell r="G792">
            <v>0</v>
          </cell>
          <cell r="H792">
            <v>2227</v>
          </cell>
        </row>
        <row r="793">
          <cell r="A793">
            <v>2669</v>
          </cell>
          <cell r="B793" t="str">
            <v>Moyen</v>
          </cell>
          <cell r="D793" t="str">
            <v>*</v>
          </cell>
          <cell r="F793">
            <v>1</v>
          </cell>
          <cell r="G793">
            <v>0</v>
          </cell>
          <cell r="H793">
            <v>0</v>
          </cell>
        </row>
        <row r="794">
          <cell r="A794">
            <v>2670</v>
          </cell>
          <cell r="B794" t="str">
            <v>Moyen</v>
          </cell>
          <cell r="D794" t="str">
            <v>*</v>
          </cell>
          <cell r="F794">
            <v>1</v>
          </cell>
          <cell r="G794">
            <v>0</v>
          </cell>
          <cell r="H794">
            <v>2841.605724</v>
          </cell>
        </row>
        <row r="795">
          <cell r="A795">
            <v>2671</v>
          </cell>
          <cell r="B795" t="str">
            <v>Moyen</v>
          </cell>
          <cell r="D795" t="str">
            <v>*</v>
          </cell>
          <cell r="F795">
            <v>1</v>
          </cell>
          <cell r="G795">
            <v>0</v>
          </cell>
          <cell r="H795">
            <v>0</v>
          </cell>
        </row>
        <row r="796">
          <cell r="A796">
            <v>2672</v>
          </cell>
          <cell r="B796" t="str">
            <v>Moyen</v>
          </cell>
          <cell r="D796" t="str">
            <v>*</v>
          </cell>
          <cell r="F796">
            <v>1</v>
          </cell>
          <cell r="G796">
            <v>0</v>
          </cell>
          <cell r="H796">
            <v>9183</v>
          </cell>
        </row>
        <row r="797">
          <cell r="A797">
            <v>2673</v>
          </cell>
          <cell r="B797" t="str">
            <v>Moyen</v>
          </cell>
          <cell r="D797" t="str">
            <v>*</v>
          </cell>
          <cell r="F797">
            <v>1</v>
          </cell>
          <cell r="G797">
            <v>0</v>
          </cell>
          <cell r="H797">
            <v>2491</v>
          </cell>
        </row>
        <row r="798">
          <cell r="A798">
            <v>2674</v>
          </cell>
          <cell r="B798" t="str">
            <v>Moyen</v>
          </cell>
          <cell r="D798" t="str">
            <v>*</v>
          </cell>
          <cell r="F798">
            <v>1</v>
          </cell>
          <cell r="G798">
            <v>0</v>
          </cell>
          <cell r="H798">
            <v>48109.504132231399</v>
          </cell>
        </row>
        <row r="799">
          <cell r="A799">
            <v>2675</v>
          </cell>
          <cell r="B799" t="str">
            <v>Moyen</v>
          </cell>
          <cell r="D799" t="str">
            <v>*</v>
          </cell>
          <cell r="F799">
            <v>1</v>
          </cell>
          <cell r="G799">
            <v>0</v>
          </cell>
          <cell r="H799">
            <v>0</v>
          </cell>
        </row>
        <row r="800">
          <cell r="A800">
            <v>2676</v>
          </cell>
          <cell r="B800" t="str">
            <v>Moyen</v>
          </cell>
          <cell r="D800" t="str">
            <v>*</v>
          </cell>
          <cell r="F800">
            <v>1</v>
          </cell>
          <cell r="G800">
            <v>0</v>
          </cell>
          <cell r="H800">
            <v>18820</v>
          </cell>
        </row>
        <row r="801">
          <cell r="A801">
            <v>2677</v>
          </cell>
          <cell r="B801" t="str">
            <v>Moyen</v>
          </cell>
          <cell r="D801" t="str">
            <v>*</v>
          </cell>
          <cell r="F801">
            <v>1</v>
          </cell>
          <cell r="G801">
            <v>0</v>
          </cell>
          <cell r="H801">
            <v>9118</v>
          </cell>
        </row>
        <row r="802">
          <cell r="A802">
            <v>2678</v>
          </cell>
          <cell r="B802" t="str">
            <v>Moyen</v>
          </cell>
          <cell r="D802" t="str">
            <v>*</v>
          </cell>
          <cell r="F802">
            <v>1</v>
          </cell>
          <cell r="G802">
            <v>0</v>
          </cell>
          <cell r="H802">
            <v>754</v>
          </cell>
        </row>
        <row r="803">
          <cell r="A803">
            <v>2679</v>
          </cell>
          <cell r="B803" t="str">
            <v>Moyen</v>
          </cell>
          <cell r="D803" t="str">
            <v>*</v>
          </cell>
          <cell r="F803">
            <v>1</v>
          </cell>
          <cell r="G803">
            <v>0</v>
          </cell>
          <cell r="H803">
            <v>0</v>
          </cell>
        </row>
        <row r="804">
          <cell r="A804">
            <v>2680</v>
          </cell>
          <cell r="B804" t="str">
            <v>Moyen</v>
          </cell>
          <cell r="D804" t="str">
            <v>*</v>
          </cell>
          <cell r="F804">
            <v>1</v>
          </cell>
          <cell r="G804">
            <v>0</v>
          </cell>
          <cell r="H804">
            <v>12357.1428571428</v>
          </cell>
        </row>
        <row r="805">
          <cell r="A805">
            <v>2681</v>
          </cell>
          <cell r="B805" t="str">
            <v>Moyen</v>
          </cell>
          <cell r="D805" t="str">
            <v>*</v>
          </cell>
          <cell r="F805">
            <v>1</v>
          </cell>
          <cell r="G805">
            <v>0</v>
          </cell>
          <cell r="H805">
            <v>147632.49385714199</v>
          </cell>
        </row>
        <row r="806">
          <cell r="A806">
            <v>2682</v>
          </cell>
          <cell r="B806" t="str">
            <v>Moyen</v>
          </cell>
          <cell r="D806" t="str">
            <v>*</v>
          </cell>
          <cell r="F806">
            <v>1</v>
          </cell>
          <cell r="G806">
            <v>0</v>
          </cell>
          <cell r="H806">
            <v>0</v>
          </cell>
        </row>
        <row r="807">
          <cell r="A807">
            <v>2683</v>
          </cell>
          <cell r="B807" t="str">
            <v>Moyen</v>
          </cell>
          <cell r="D807" t="str">
            <v>*</v>
          </cell>
          <cell r="F807">
            <v>1</v>
          </cell>
          <cell r="G807">
            <v>0</v>
          </cell>
          <cell r="H807">
            <v>1</v>
          </cell>
        </row>
        <row r="808">
          <cell r="A808">
            <v>2684</v>
          </cell>
          <cell r="B808" t="str">
            <v>Moyen</v>
          </cell>
          <cell r="D808" t="str">
            <v>*</v>
          </cell>
          <cell r="F808">
            <v>1</v>
          </cell>
          <cell r="G808">
            <v>0</v>
          </cell>
          <cell r="H808">
            <v>4453</v>
          </cell>
        </row>
        <row r="809">
          <cell r="A809">
            <v>2685</v>
          </cell>
          <cell r="B809" t="str">
            <v>Moyen</v>
          </cell>
          <cell r="D809" t="str">
            <v>*</v>
          </cell>
          <cell r="F809">
            <v>1</v>
          </cell>
          <cell r="G809">
            <v>0</v>
          </cell>
          <cell r="H809">
            <v>56550</v>
          </cell>
        </row>
        <row r="810">
          <cell r="A810">
            <v>2686</v>
          </cell>
          <cell r="B810" t="str">
            <v>Moyen</v>
          </cell>
          <cell r="D810" t="str">
            <v>*</v>
          </cell>
          <cell r="F810">
            <v>1</v>
          </cell>
          <cell r="G810">
            <v>0</v>
          </cell>
          <cell r="H810">
            <v>0</v>
          </cell>
        </row>
        <row r="811">
          <cell r="A811">
            <v>2687</v>
          </cell>
          <cell r="B811" t="str">
            <v>Moyen</v>
          </cell>
          <cell r="D811" t="str">
            <v>*</v>
          </cell>
          <cell r="F811">
            <v>1</v>
          </cell>
          <cell r="G811">
            <v>0</v>
          </cell>
          <cell r="H811">
            <v>10233</v>
          </cell>
        </row>
        <row r="812">
          <cell r="A812">
            <v>2688</v>
          </cell>
          <cell r="B812" t="str">
            <v>Moyen</v>
          </cell>
          <cell r="D812" t="str">
            <v>*</v>
          </cell>
          <cell r="F812">
            <v>1</v>
          </cell>
          <cell r="G812">
            <v>0</v>
          </cell>
          <cell r="H812">
            <v>6</v>
          </cell>
        </row>
        <row r="813">
          <cell r="A813">
            <v>2689</v>
          </cell>
          <cell r="B813" t="str">
            <v>Moyen</v>
          </cell>
          <cell r="D813" t="str">
            <v>*</v>
          </cell>
          <cell r="F813">
            <v>1</v>
          </cell>
          <cell r="G813">
            <v>0</v>
          </cell>
          <cell r="H813">
            <v>0</v>
          </cell>
        </row>
        <row r="814">
          <cell r="A814">
            <v>2690</v>
          </cell>
          <cell r="B814" t="str">
            <v>Moyen</v>
          </cell>
          <cell r="D814" t="str">
            <v>*</v>
          </cell>
          <cell r="F814">
            <v>1</v>
          </cell>
          <cell r="G814">
            <v>0</v>
          </cell>
          <cell r="H814">
            <v>167375</v>
          </cell>
        </row>
        <row r="815">
          <cell r="A815">
            <v>2691</v>
          </cell>
          <cell r="B815" t="str">
            <v>Moyen</v>
          </cell>
          <cell r="D815" t="str">
            <v>*</v>
          </cell>
          <cell r="F815">
            <v>1</v>
          </cell>
          <cell r="G815">
            <v>0</v>
          </cell>
          <cell r="H815">
            <v>0</v>
          </cell>
        </row>
        <row r="816">
          <cell r="A816">
            <v>2692</v>
          </cell>
          <cell r="B816" t="str">
            <v>Moyen</v>
          </cell>
          <cell r="D816" t="str">
            <v>*</v>
          </cell>
          <cell r="F816">
            <v>1</v>
          </cell>
          <cell r="G816">
            <v>0</v>
          </cell>
          <cell r="H816">
            <v>99240</v>
          </cell>
        </row>
        <row r="817">
          <cell r="A817">
            <v>2693</v>
          </cell>
          <cell r="B817" t="str">
            <v>Moyen</v>
          </cell>
          <cell r="D817" t="str">
            <v>*</v>
          </cell>
          <cell r="F817">
            <v>1</v>
          </cell>
          <cell r="G817">
            <v>0</v>
          </cell>
          <cell r="H817">
            <v>96</v>
          </cell>
        </row>
        <row r="818">
          <cell r="A818">
            <v>2694</v>
          </cell>
          <cell r="B818" t="str">
            <v>Moyen</v>
          </cell>
          <cell r="D818" t="str">
            <v>*</v>
          </cell>
          <cell r="F818">
            <v>1</v>
          </cell>
          <cell r="G818">
            <v>0</v>
          </cell>
          <cell r="H818">
            <v>0</v>
          </cell>
        </row>
        <row r="819">
          <cell r="A819">
            <v>2695</v>
          </cell>
          <cell r="B819" t="str">
            <v>Moyen</v>
          </cell>
          <cell r="D819" t="str">
            <v>*</v>
          </cell>
          <cell r="F819">
            <v>1</v>
          </cell>
          <cell r="G819">
            <v>0</v>
          </cell>
          <cell r="H819">
            <v>5103</v>
          </cell>
        </row>
        <row r="820">
          <cell r="A820">
            <v>2696</v>
          </cell>
          <cell r="B820" t="str">
            <v>Moyen</v>
          </cell>
          <cell r="D820" t="str">
            <v>*</v>
          </cell>
          <cell r="F820">
            <v>1</v>
          </cell>
          <cell r="G820">
            <v>0</v>
          </cell>
          <cell r="H820">
            <v>1</v>
          </cell>
        </row>
        <row r="821">
          <cell r="A821">
            <v>2697</v>
          </cell>
          <cell r="B821" t="str">
            <v>Moyen</v>
          </cell>
          <cell r="D821" t="str">
            <v>*</v>
          </cell>
          <cell r="F821">
            <v>1</v>
          </cell>
          <cell r="G821">
            <v>0</v>
          </cell>
          <cell r="H821">
            <v>0</v>
          </cell>
        </row>
        <row r="822">
          <cell r="A822">
            <v>2698</v>
          </cell>
          <cell r="B822" t="str">
            <v>Moyen</v>
          </cell>
          <cell r="D822" t="str">
            <v>*</v>
          </cell>
          <cell r="F822">
            <v>1</v>
          </cell>
          <cell r="G822">
            <v>0</v>
          </cell>
          <cell r="H822">
            <v>3236</v>
          </cell>
        </row>
        <row r="823">
          <cell r="A823">
            <v>2699</v>
          </cell>
          <cell r="B823" t="str">
            <v>Moyen</v>
          </cell>
          <cell r="D823" t="str">
            <v>*</v>
          </cell>
          <cell r="F823">
            <v>1</v>
          </cell>
          <cell r="G823">
            <v>0</v>
          </cell>
          <cell r="H823">
            <v>0</v>
          </cell>
        </row>
        <row r="824">
          <cell r="A824">
            <v>2700</v>
          </cell>
          <cell r="B824" t="str">
            <v>Moyen</v>
          </cell>
          <cell r="D824" t="str">
            <v>*</v>
          </cell>
          <cell r="F824">
            <v>1</v>
          </cell>
          <cell r="G824">
            <v>0</v>
          </cell>
          <cell r="H824">
            <v>0</v>
          </cell>
        </row>
        <row r="825">
          <cell r="A825">
            <v>2701</v>
          </cell>
          <cell r="B825" t="str">
            <v>Moyen</v>
          </cell>
          <cell r="D825" t="str">
            <v>*</v>
          </cell>
          <cell r="F825">
            <v>1</v>
          </cell>
          <cell r="G825">
            <v>0</v>
          </cell>
          <cell r="H825">
            <v>889.23195876288605</v>
          </cell>
        </row>
        <row r="826">
          <cell r="A826">
            <v>2702</v>
          </cell>
          <cell r="B826" t="str">
            <v>Moyen</v>
          </cell>
          <cell r="D826" t="str">
            <v>*</v>
          </cell>
          <cell r="F826">
            <v>1</v>
          </cell>
          <cell r="G826">
            <v>0</v>
          </cell>
          <cell r="H826">
            <v>3</v>
          </cell>
        </row>
        <row r="827">
          <cell r="A827">
            <v>2703</v>
          </cell>
          <cell r="B827" t="str">
            <v>Moyen</v>
          </cell>
          <cell r="D827" t="str">
            <v>*</v>
          </cell>
          <cell r="F827">
            <v>1</v>
          </cell>
          <cell r="G827">
            <v>0</v>
          </cell>
          <cell r="H827">
            <v>1</v>
          </cell>
        </row>
        <row r="828">
          <cell r="A828">
            <v>2704</v>
          </cell>
          <cell r="B828" t="str">
            <v>Moyen</v>
          </cell>
          <cell r="D828" t="str">
            <v>*</v>
          </cell>
          <cell r="F828">
            <v>1</v>
          </cell>
          <cell r="G828">
            <v>0</v>
          </cell>
          <cell r="H828">
            <v>124789</v>
          </cell>
        </row>
        <row r="829">
          <cell r="A829">
            <v>2705</v>
          </cell>
          <cell r="B829" t="str">
            <v>Moyen</v>
          </cell>
          <cell r="D829" t="str">
            <v>*</v>
          </cell>
          <cell r="F829">
            <v>1</v>
          </cell>
          <cell r="G829">
            <v>0</v>
          </cell>
          <cell r="H829">
            <v>1</v>
          </cell>
        </row>
        <row r="830">
          <cell r="A830">
            <v>2706</v>
          </cell>
          <cell r="B830" t="str">
            <v>Moyen</v>
          </cell>
          <cell r="D830" t="str">
            <v>*</v>
          </cell>
          <cell r="F830">
            <v>1</v>
          </cell>
          <cell r="G830">
            <v>0</v>
          </cell>
          <cell r="H830">
            <v>475</v>
          </cell>
        </row>
        <row r="831">
          <cell r="A831">
            <v>2707</v>
          </cell>
          <cell r="B831" t="str">
            <v>Moyen</v>
          </cell>
          <cell r="D831" t="str">
            <v>*</v>
          </cell>
          <cell r="F831">
            <v>1</v>
          </cell>
          <cell r="G831">
            <v>0</v>
          </cell>
          <cell r="H831">
            <v>0</v>
          </cell>
        </row>
        <row r="832">
          <cell r="A832">
            <v>2708</v>
          </cell>
          <cell r="B832" t="str">
            <v>Moyen</v>
          </cell>
          <cell r="D832" t="str">
            <v>*</v>
          </cell>
          <cell r="F832">
            <v>1</v>
          </cell>
          <cell r="G832">
            <v>0</v>
          </cell>
          <cell r="H832">
            <v>672</v>
          </cell>
        </row>
        <row r="833">
          <cell r="A833">
            <v>2709</v>
          </cell>
          <cell r="B833" t="str">
            <v>Moyen</v>
          </cell>
          <cell r="D833" t="str">
            <v>*</v>
          </cell>
          <cell r="F833">
            <v>1</v>
          </cell>
          <cell r="G833">
            <v>0</v>
          </cell>
          <cell r="H833">
            <v>0</v>
          </cell>
        </row>
        <row r="834">
          <cell r="A834">
            <v>2710</v>
          </cell>
          <cell r="B834" t="str">
            <v>Moyen</v>
          </cell>
          <cell r="D834" t="str">
            <v>*</v>
          </cell>
          <cell r="F834">
            <v>1</v>
          </cell>
          <cell r="G834">
            <v>0</v>
          </cell>
          <cell r="H834">
            <v>36694</v>
          </cell>
        </row>
        <row r="835">
          <cell r="A835">
            <v>2711</v>
          </cell>
          <cell r="B835" t="str">
            <v>Moyen</v>
          </cell>
          <cell r="D835" t="str">
            <v>*</v>
          </cell>
          <cell r="F835">
            <v>1</v>
          </cell>
          <cell r="G835">
            <v>0</v>
          </cell>
          <cell r="H835">
            <v>0</v>
          </cell>
        </row>
        <row r="836">
          <cell r="A836">
            <v>2712</v>
          </cell>
          <cell r="B836" t="str">
            <v>Moyen</v>
          </cell>
          <cell r="D836" t="str">
            <v>*</v>
          </cell>
          <cell r="F836">
            <v>1</v>
          </cell>
          <cell r="G836">
            <v>0</v>
          </cell>
          <cell r="H836">
            <v>0</v>
          </cell>
        </row>
        <row r="837">
          <cell r="A837">
            <v>2713</v>
          </cell>
          <cell r="B837" t="str">
            <v>Moyen</v>
          </cell>
          <cell r="D837" t="str">
            <v>*</v>
          </cell>
          <cell r="F837">
            <v>1</v>
          </cell>
          <cell r="G837">
            <v>0</v>
          </cell>
          <cell r="H837">
            <v>55346</v>
          </cell>
        </row>
        <row r="838">
          <cell r="A838">
            <v>2714</v>
          </cell>
          <cell r="B838" t="str">
            <v>Moyen</v>
          </cell>
          <cell r="D838" t="str">
            <v>*</v>
          </cell>
          <cell r="F838">
            <v>1</v>
          </cell>
          <cell r="G838">
            <v>0</v>
          </cell>
          <cell r="H838">
            <v>307658</v>
          </cell>
        </row>
        <row r="839">
          <cell r="A839">
            <v>2715</v>
          </cell>
          <cell r="B839" t="str">
            <v>Moyen</v>
          </cell>
          <cell r="D839" t="str">
            <v>*</v>
          </cell>
          <cell r="F839">
            <v>1</v>
          </cell>
          <cell r="G839">
            <v>0</v>
          </cell>
          <cell r="H839">
            <v>53664</v>
          </cell>
        </row>
        <row r="840">
          <cell r="A840">
            <v>2716</v>
          </cell>
          <cell r="B840" t="str">
            <v>Moyen</v>
          </cell>
          <cell r="D840" t="str">
            <v>*</v>
          </cell>
          <cell r="F840">
            <v>1</v>
          </cell>
          <cell r="G840">
            <v>0</v>
          </cell>
          <cell r="H840">
            <v>0</v>
          </cell>
        </row>
        <row r="841">
          <cell r="A841">
            <v>2717</v>
          </cell>
          <cell r="B841" t="str">
            <v>Moyen</v>
          </cell>
          <cell r="D841" t="str">
            <v>*</v>
          </cell>
          <cell r="F841">
            <v>1</v>
          </cell>
          <cell r="G841">
            <v>0</v>
          </cell>
          <cell r="H841">
            <v>0</v>
          </cell>
        </row>
        <row r="842">
          <cell r="A842">
            <v>2718</v>
          </cell>
          <cell r="B842" t="str">
            <v>Moyen</v>
          </cell>
          <cell r="D842" t="str">
            <v>*</v>
          </cell>
          <cell r="F842">
            <v>1</v>
          </cell>
          <cell r="G842">
            <v>0</v>
          </cell>
          <cell r="H842">
            <v>1200</v>
          </cell>
        </row>
        <row r="843">
          <cell r="A843">
            <v>2719</v>
          </cell>
          <cell r="B843" t="str">
            <v>Moyen</v>
          </cell>
          <cell r="D843" t="str">
            <v>*</v>
          </cell>
          <cell r="F843">
            <v>1</v>
          </cell>
          <cell r="G843">
            <v>0</v>
          </cell>
          <cell r="H843">
            <v>21850</v>
          </cell>
        </row>
        <row r="844">
          <cell r="A844">
            <v>2720</v>
          </cell>
          <cell r="B844" t="str">
            <v>Moyen</v>
          </cell>
          <cell r="D844" t="str">
            <v>*</v>
          </cell>
          <cell r="F844">
            <v>1</v>
          </cell>
          <cell r="G844">
            <v>0</v>
          </cell>
          <cell r="H844">
            <v>0</v>
          </cell>
        </row>
        <row r="845">
          <cell r="A845">
            <v>2721</v>
          </cell>
          <cell r="B845" t="str">
            <v>Moyen</v>
          </cell>
          <cell r="D845" t="str">
            <v>*</v>
          </cell>
          <cell r="F845">
            <v>1</v>
          </cell>
          <cell r="G845">
            <v>0</v>
          </cell>
          <cell r="H845">
            <v>4264</v>
          </cell>
        </row>
        <row r="846">
          <cell r="A846">
            <v>2722</v>
          </cell>
          <cell r="B846" t="str">
            <v>Moyen</v>
          </cell>
          <cell r="D846" t="str">
            <v>*</v>
          </cell>
          <cell r="F846">
            <v>1</v>
          </cell>
          <cell r="G846">
            <v>0</v>
          </cell>
          <cell r="H846">
            <v>41128.503900000003</v>
          </cell>
        </row>
        <row r="847">
          <cell r="A847">
            <v>2723</v>
          </cell>
          <cell r="B847" t="str">
            <v>Moyen</v>
          </cell>
          <cell r="D847" t="str">
            <v>*</v>
          </cell>
          <cell r="F847">
            <v>1</v>
          </cell>
          <cell r="G847">
            <v>0</v>
          </cell>
          <cell r="H847">
            <v>328</v>
          </cell>
        </row>
        <row r="848">
          <cell r="A848">
            <v>2724</v>
          </cell>
          <cell r="B848" t="str">
            <v>Moyen</v>
          </cell>
          <cell r="D848" t="str">
            <v>*</v>
          </cell>
          <cell r="F848">
            <v>1</v>
          </cell>
          <cell r="G848">
            <v>0</v>
          </cell>
          <cell r="H848">
            <v>692</v>
          </cell>
        </row>
        <row r="849">
          <cell r="A849">
            <v>2725</v>
          </cell>
          <cell r="B849" t="str">
            <v>Moyen</v>
          </cell>
          <cell r="D849" t="str">
            <v>*</v>
          </cell>
          <cell r="F849">
            <v>1</v>
          </cell>
          <cell r="G849">
            <v>0</v>
          </cell>
          <cell r="H849">
            <v>0</v>
          </cell>
        </row>
        <row r="850">
          <cell r="A850">
            <v>2726</v>
          </cell>
          <cell r="B850" t="str">
            <v>Moyen</v>
          </cell>
          <cell r="D850" t="str">
            <v>*</v>
          </cell>
          <cell r="F850">
            <v>1</v>
          </cell>
          <cell r="G850">
            <v>0</v>
          </cell>
          <cell r="H850">
            <v>2012</v>
          </cell>
        </row>
        <row r="851">
          <cell r="A851">
            <v>2727</v>
          </cell>
          <cell r="B851" t="str">
            <v>Moyen</v>
          </cell>
          <cell r="D851" t="str">
            <v>*</v>
          </cell>
          <cell r="F851">
            <v>1</v>
          </cell>
          <cell r="G851">
            <v>0</v>
          </cell>
          <cell r="H851">
            <v>0</v>
          </cell>
        </row>
        <row r="852">
          <cell r="A852">
            <v>2728</v>
          </cell>
          <cell r="B852" t="str">
            <v>Moyen</v>
          </cell>
          <cell r="D852" t="str">
            <v>*</v>
          </cell>
          <cell r="F852">
            <v>1</v>
          </cell>
          <cell r="G852">
            <v>0</v>
          </cell>
          <cell r="H852">
            <v>73269</v>
          </cell>
        </row>
        <row r="853">
          <cell r="A853">
            <v>2729</v>
          </cell>
          <cell r="B853" t="str">
            <v>Moyen</v>
          </cell>
          <cell r="D853" t="str">
            <v>*</v>
          </cell>
          <cell r="F853">
            <v>1</v>
          </cell>
          <cell r="G853">
            <v>0</v>
          </cell>
          <cell r="H853">
            <v>0</v>
          </cell>
        </row>
        <row r="854">
          <cell r="A854">
            <v>2831</v>
          </cell>
          <cell r="B854" t="str">
            <v>Moyen</v>
          </cell>
          <cell r="D854" t="str">
            <v>*</v>
          </cell>
          <cell r="F854">
            <v>1</v>
          </cell>
          <cell r="G854">
            <v>0</v>
          </cell>
          <cell r="H854">
            <v>40177</v>
          </cell>
        </row>
        <row r="855">
          <cell r="A855">
            <v>2832</v>
          </cell>
          <cell r="B855" t="str">
            <v>Moyen</v>
          </cell>
          <cell r="D855" t="str">
            <v>*</v>
          </cell>
          <cell r="F855">
            <v>1</v>
          </cell>
          <cell r="G855">
            <v>0</v>
          </cell>
          <cell r="H855">
            <v>547</v>
          </cell>
        </row>
        <row r="856">
          <cell r="A856">
            <v>2833</v>
          </cell>
          <cell r="B856" t="str">
            <v>Moyen</v>
          </cell>
          <cell r="D856" t="str">
            <v>*</v>
          </cell>
          <cell r="F856">
            <v>1</v>
          </cell>
          <cell r="G856">
            <v>0</v>
          </cell>
          <cell r="H856">
            <v>474</v>
          </cell>
        </row>
        <row r="857">
          <cell r="A857">
            <v>2834</v>
          </cell>
          <cell r="B857" t="str">
            <v>Moyen</v>
          </cell>
          <cell r="D857" t="str">
            <v>*</v>
          </cell>
          <cell r="F857">
            <v>1</v>
          </cell>
          <cell r="G857">
            <v>0</v>
          </cell>
          <cell r="H857">
            <v>1</v>
          </cell>
        </row>
        <row r="858">
          <cell r="A858">
            <v>2835</v>
          </cell>
          <cell r="B858" t="str">
            <v>Moyen</v>
          </cell>
          <cell r="D858" t="str">
            <v>*</v>
          </cell>
          <cell r="F858">
            <v>1</v>
          </cell>
          <cell r="G858">
            <v>0</v>
          </cell>
          <cell r="H858">
            <v>203</v>
          </cell>
        </row>
        <row r="859">
          <cell r="A859">
            <v>2836</v>
          </cell>
          <cell r="B859" t="str">
            <v>Moyen</v>
          </cell>
          <cell r="D859" t="str">
            <v>*</v>
          </cell>
          <cell r="F859">
            <v>1</v>
          </cell>
          <cell r="G859">
            <v>0</v>
          </cell>
          <cell r="H859">
            <v>1</v>
          </cell>
        </row>
        <row r="860">
          <cell r="A860">
            <v>2837</v>
          </cell>
          <cell r="B860" t="str">
            <v>Moyen</v>
          </cell>
          <cell r="D860" t="str">
            <v>*</v>
          </cell>
          <cell r="F860">
            <v>1</v>
          </cell>
          <cell r="G860">
            <v>0</v>
          </cell>
          <cell r="H860">
            <v>176708</v>
          </cell>
        </row>
        <row r="861">
          <cell r="A861">
            <v>2838</v>
          </cell>
          <cell r="B861" t="str">
            <v>Moyen</v>
          </cell>
          <cell r="D861" t="str">
            <v>*</v>
          </cell>
          <cell r="F861">
            <v>1</v>
          </cell>
          <cell r="G861">
            <v>0</v>
          </cell>
          <cell r="H861">
            <v>0</v>
          </cell>
        </row>
        <row r="862">
          <cell r="A862">
            <v>2839</v>
          </cell>
          <cell r="B862" t="str">
            <v>Moyen</v>
          </cell>
          <cell r="D862" t="str">
            <v>*</v>
          </cell>
          <cell r="F862">
            <v>1</v>
          </cell>
          <cell r="G862">
            <v>0</v>
          </cell>
          <cell r="H862">
            <v>0</v>
          </cell>
        </row>
        <row r="863">
          <cell r="A863">
            <v>2840</v>
          </cell>
          <cell r="B863" t="str">
            <v>Moyen</v>
          </cell>
          <cell r="D863" t="str">
            <v>*</v>
          </cell>
          <cell r="F863">
            <v>1</v>
          </cell>
          <cell r="G863">
            <v>0</v>
          </cell>
          <cell r="H863">
            <v>0</v>
          </cell>
        </row>
        <row r="864">
          <cell r="A864">
            <v>2841</v>
          </cell>
          <cell r="B864" t="str">
            <v>Moyen</v>
          </cell>
          <cell r="D864" t="str">
            <v>*</v>
          </cell>
          <cell r="F864">
            <v>1</v>
          </cell>
          <cell r="G864">
            <v>0</v>
          </cell>
          <cell r="H864">
            <v>325000</v>
          </cell>
        </row>
        <row r="865">
          <cell r="A865">
            <v>2842</v>
          </cell>
          <cell r="B865" t="str">
            <v>Moyen</v>
          </cell>
          <cell r="D865" t="str">
            <v>*</v>
          </cell>
          <cell r="F865">
            <v>1</v>
          </cell>
          <cell r="G865">
            <v>0</v>
          </cell>
          <cell r="H865">
            <v>310477</v>
          </cell>
        </row>
        <row r="866">
          <cell r="A866">
            <v>2843</v>
          </cell>
          <cell r="B866" t="str">
            <v>Moyen</v>
          </cell>
          <cell r="D866" t="str">
            <v>*</v>
          </cell>
          <cell r="F866">
            <v>1</v>
          </cell>
          <cell r="G866">
            <v>0</v>
          </cell>
          <cell r="H866">
            <v>325000</v>
          </cell>
        </row>
        <row r="867">
          <cell r="A867">
            <v>2844</v>
          </cell>
          <cell r="B867" t="str">
            <v>Moyen</v>
          </cell>
          <cell r="D867" t="str">
            <v>*</v>
          </cell>
          <cell r="F867">
            <v>1</v>
          </cell>
          <cell r="G867">
            <v>0</v>
          </cell>
          <cell r="H867">
            <v>544</v>
          </cell>
        </row>
        <row r="868">
          <cell r="A868">
            <v>2845</v>
          </cell>
          <cell r="B868" t="str">
            <v>Moyen</v>
          </cell>
          <cell r="D868" t="str">
            <v>*</v>
          </cell>
          <cell r="F868">
            <v>1</v>
          </cell>
          <cell r="G868">
            <v>0</v>
          </cell>
          <cell r="H868">
            <v>0</v>
          </cell>
        </row>
        <row r="869">
          <cell r="A869">
            <v>2846</v>
          </cell>
          <cell r="B869" t="str">
            <v>Moyen</v>
          </cell>
          <cell r="D869" t="str">
            <v>*</v>
          </cell>
          <cell r="F869">
            <v>1</v>
          </cell>
          <cell r="G869">
            <v>0</v>
          </cell>
          <cell r="H869">
            <v>907</v>
          </cell>
        </row>
        <row r="870">
          <cell r="A870">
            <v>2847</v>
          </cell>
          <cell r="B870" t="str">
            <v>Moyen</v>
          </cell>
          <cell r="D870" t="str">
            <v>*</v>
          </cell>
          <cell r="F870">
            <v>1</v>
          </cell>
          <cell r="G870">
            <v>0</v>
          </cell>
          <cell r="H870">
            <v>0</v>
          </cell>
        </row>
        <row r="871">
          <cell r="A871">
            <v>2848</v>
          </cell>
          <cell r="B871" t="str">
            <v>Moyen</v>
          </cell>
          <cell r="D871" t="str">
            <v>*</v>
          </cell>
          <cell r="F871">
            <v>1</v>
          </cell>
          <cell r="G871">
            <v>0</v>
          </cell>
          <cell r="H871">
            <v>7353</v>
          </cell>
        </row>
        <row r="872">
          <cell r="A872">
            <v>2849</v>
          </cell>
          <cell r="B872" t="str">
            <v>Moyen</v>
          </cell>
          <cell r="D872" t="str">
            <v>*</v>
          </cell>
          <cell r="F872">
            <v>1</v>
          </cell>
          <cell r="G872">
            <v>0</v>
          </cell>
          <cell r="H872">
            <v>0</v>
          </cell>
        </row>
        <row r="873">
          <cell r="A873">
            <v>2850</v>
          </cell>
          <cell r="B873" t="str">
            <v>Moyen</v>
          </cell>
          <cell r="D873" t="str">
            <v>*</v>
          </cell>
          <cell r="F873">
            <v>1</v>
          </cell>
          <cell r="G873">
            <v>0</v>
          </cell>
          <cell r="H873">
            <v>109282</v>
          </cell>
        </row>
        <row r="874">
          <cell r="A874">
            <v>2851</v>
          </cell>
          <cell r="B874" t="str">
            <v>Moyen</v>
          </cell>
          <cell r="D874" t="str">
            <v>*</v>
          </cell>
          <cell r="F874">
            <v>1</v>
          </cell>
          <cell r="G874">
            <v>0</v>
          </cell>
          <cell r="H874">
            <v>0</v>
          </cell>
        </row>
        <row r="875">
          <cell r="A875">
            <v>2852</v>
          </cell>
          <cell r="B875" t="str">
            <v>Moyen</v>
          </cell>
          <cell r="D875" t="str">
            <v>*</v>
          </cell>
          <cell r="F875">
            <v>1</v>
          </cell>
          <cell r="G875">
            <v>0</v>
          </cell>
          <cell r="H875">
            <v>50391</v>
          </cell>
        </row>
        <row r="876">
          <cell r="A876">
            <v>2853</v>
          </cell>
          <cell r="B876" t="str">
            <v>Moyen</v>
          </cell>
          <cell r="D876" t="str">
            <v>*</v>
          </cell>
          <cell r="F876">
            <v>1</v>
          </cell>
          <cell r="G876">
            <v>0</v>
          </cell>
          <cell r="H876">
            <v>124369</v>
          </cell>
        </row>
        <row r="877">
          <cell r="A877">
            <v>2854</v>
          </cell>
          <cell r="B877" t="str">
            <v>Moyen</v>
          </cell>
          <cell r="D877" t="str">
            <v>*</v>
          </cell>
          <cell r="F877">
            <v>1</v>
          </cell>
          <cell r="G877">
            <v>0</v>
          </cell>
          <cell r="H877">
            <v>0</v>
          </cell>
        </row>
        <row r="878">
          <cell r="A878">
            <v>2855</v>
          </cell>
          <cell r="B878" t="str">
            <v>Moyen</v>
          </cell>
          <cell r="D878" t="str">
            <v>*</v>
          </cell>
          <cell r="F878">
            <v>1</v>
          </cell>
          <cell r="G878">
            <v>0</v>
          </cell>
          <cell r="H878">
            <v>46901</v>
          </cell>
        </row>
        <row r="879">
          <cell r="A879">
            <v>2856</v>
          </cell>
          <cell r="B879" t="str">
            <v>Moyen</v>
          </cell>
          <cell r="D879" t="str">
            <v>*</v>
          </cell>
          <cell r="F879">
            <v>1</v>
          </cell>
          <cell r="G879">
            <v>0</v>
          </cell>
          <cell r="H879">
            <v>0</v>
          </cell>
        </row>
        <row r="880">
          <cell r="A880">
            <v>2857</v>
          </cell>
          <cell r="B880" t="str">
            <v>Moyen</v>
          </cell>
          <cell r="D880" t="str">
            <v>*</v>
          </cell>
          <cell r="F880">
            <v>1</v>
          </cell>
          <cell r="G880">
            <v>0</v>
          </cell>
          <cell r="H880">
            <v>669</v>
          </cell>
        </row>
        <row r="881">
          <cell r="A881">
            <v>2858</v>
          </cell>
          <cell r="B881" t="str">
            <v>Moyen</v>
          </cell>
          <cell r="D881" t="str">
            <v>*</v>
          </cell>
          <cell r="F881">
            <v>1</v>
          </cell>
          <cell r="G881">
            <v>0</v>
          </cell>
          <cell r="H881">
            <v>0</v>
          </cell>
        </row>
        <row r="882">
          <cell r="A882">
            <v>2859</v>
          </cell>
          <cell r="B882" t="str">
            <v>Moyen</v>
          </cell>
          <cell r="D882" t="str">
            <v>*</v>
          </cell>
          <cell r="F882">
            <v>1</v>
          </cell>
          <cell r="G882">
            <v>0</v>
          </cell>
          <cell r="H882">
            <v>45858</v>
          </cell>
        </row>
        <row r="883">
          <cell r="A883">
            <v>2860</v>
          </cell>
          <cell r="B883" t="str">
            <v>Moyen</v>
          </cell>
          <cell r="D883" t="str">
            <v>*</v>
          </cell>
          <cell r="F883">
            <v>1</v>
          </cell>
          <cell r="G883">
            <v>0</v>
          </cell>
          <cell r="H883">
            <v>2500</v>
          </cell>
        </row>
        <row r="884">
          <cell r="A884">
            <v>2861</v>
          </cell>
          <cell r="B884" t="str">
            <v>Moyen</v>
          </cell>
          <cell r="D884" t="str">
            <v>*</v>
          </cell>
          <cell r="F884">
            <v>1</v>
          </cell>
          <cell r="G884">
            <v>0</v>
          </cell>
          <cell r="H884">
            <v>0</v>
          </cell>
        </row>
        <row r="885">
          <cell r="A885">
            <v>2862</v>
          </cell>
          <cell r="B885" t="str">
            <v>Moyen</v>
          </cell>
          <cell r="D885" t="str">
            <v>*</v>
          </cell>
          <cell r="F885">
            <v>1</v>
          </cell>
          <cell r="G885">
            <v>0</v>
          </cell>
          <cell r="H885">
            <v>251404</v>
          </cell>
        </row>
        <row r="886">
          <cell r="A886">
            <v>2863</v>
          </cell>
          <cell r="B886" t="str">
            <v>Moyen</v>
          </cell>
          <cell r="D886" t="str">
            <v>*</v>
          </cell>
          <cell r="F886">
            <v>1</v>
          </cell>
          <cell r="G886">
            <v>0</v>
          </cell>
          <cell r="H886">
            <v>99990</v>
          </cell>
        </row>
        <row r="887">
          <cell r="A887">
            <v>2864</v>
          </cell>
          <cell r="B887" t="str">
            <v>Moyen</v>
          </cell>
          <cell r="D887" t="str">
            <v>*</v>
          </cell>
          <cell r="F887">
            <v>1</v>
          </cell>
          <cell r="G887">
            <v>0</v>
          </cell>
          <cell r="H887">
            <v>737498.91144166596</v>
          </cell>
        </row>
        <row r="888">
          <cell r="A888">
            <v>2865</v>
          </cell>
          <cell r="B888" t="str">
            <v>Moyen</v>
          </cell>
          <cell r="D888" t="str">
            <v>*</v>
          </cell>
          <cell r="F888">
            <v>1</v>
          </cell>
          <cell r="G888">
            <v>0</v>
          </cell>
          <cell r="H888">
            <v>4591.6989999999996</v>
          </cell>
        </row>
        <row r="889">
          <cell r="A889">
            <v>2866</v>
          </cell>
          <cell r="B889" t="str">
            <v>Moyen</v>
          </cell>
          <cell r="D889" t="str">
            <v>*</v>
          </cell>
          <cell r="F889">
            <v>1</v>
          </cell>
          <cell r="G889">
            <v>0</v>
          </cell>
          <cell r="H889">
            <v>113931</v>
          </cell>
        </row>
        <row r="890">
          <cell r="A890">
            <v>2867</v>
          </cell>
          <cell r="B890" t="str">
            <v>Moyen</v>
          </cell>
          <cell r="D890" t="str">
            <v>*</v>
          </cell>
          <cell r="F890">
            <v>1</v>
          </cell>
          <cell r="G890">
            <v>0</v>
          </cell>
          <cell r="H890">
            <v>167977</v>
          </cell>
        </row>
        <row r="891">
          <cell r="A891">
            <v>2868</v>
          </cell>
          <cell r="B891" t="str">
            <v>Moyen</v>
          </cell>
          <cell r="D891" t="str">
            <v>*</v>
          </cell>
          <cell r="F891">
            <v>1</v>
          </cell>
          <cell r="G891">
            <v>0</v>
          </cell>
          <cell r="H891">
            <v>12220</v>
          </cell>
        </row>
        <row r="892">
          <cell r="A892">
            <v>2869</v>
          </cell>
          <cell r="B892" t="str">
            <v>Moyen</v>
          </cell>
          <cell r="D892" t="str">
            <v>*</v>
          </cell>
          <cell r="F892">
            <v>1</v>
          </cell>
          <cell r="G892">
            <v>0</v>
          </cell>
          <cell r="H892">
            <v>3159</v>
          </cell>
        </row>
        <row r="893">
          <cell r="A893">
            <v>2870</v>
          </cell>
          <cell r="B893" t="str">
            <v>Moyen</v>
          </cell>
          <cell r="D893" t="str">
            <v>*</v>
          </cell>
          <cell r="F893">
            <v>1</v>
          </cell>
          <cell r="G893">
            <v>0</v>
          </cell>
          <cell r="H893">
            <v>21835</v>
          </cell>
        </row>
        <row r="894">
          <cell r="A894">
            <v>2871</v>
          </cell>
          <cell r="B894" t="str">
            <v>Moyen</v>
          </cell>
          <cell r="D894" t="str">
            <v>*</v>
          </cell>
          <cell r="F894">
            <v>1</v>
          </cell>
          <cell r="G894">
            <v>0</v>
          </cell>
          <cell r="H894">
            <v>0</v>
          </cell>
        </row>
        <row r="895">
          <cell r="A895">
            <v>2872</v>
          </cell>
          <cell r="B895" t="str">
            <v>Moyen</v>
          </cell>
          <cell r="D895" t="str">
            <v>*</v>
          </cell>
          <cell r="F895">
            <v>1</v>
          </cell>
          <cell r="G895">
            <v>0</v>
          </cell>
          <cell r="H895">
            <v>620</v>
          </cell>
        </row>
        <row r="896">
          <cell r="A896">
            <v>2873</v>
          </cell>
          <cell r="B896" t="str">
            <v>Moyen</v>
          </cell>
          <cell r="D896" t="str">
            <v>*</v>
          </cell>
          <cell r="F896">
            <v>1</v>
          </cell>
          <cell r="G896">
            <v>0</v>
          </cell>
          <cell r="H896">
            <v>4500</v>
          </cell>
        </row>
        <row r="897">
          <cell r="A897">
            <v>2874</v>
          </cell>
          <cell r="B897" t="str">
            <v>Moyen</v>
          </cell>
          <cell r="D897" t="str">
            <v>*</v>
          </cell>
          <cell r="F897">
            <v>1</v>
          </cell>
          <cell r="G897">
            <v>0</v>
          </cell>
          <cell r="H897">
            <v>0</v>
          </cell>
        </row>
        <row r="898">
          <cell r="A898">
            <v>2875</v>
          </cell>
          <cell r="B898" t="str">
            <v>Moyen</v>
          </cell>
          <cell r="D898" t="str">
            <v>*</v>
          </cell>
          <cell r="F898">
            <v>1</v>
          </cell>
          <cell r="G898">
            <v>0</v>
          </cell>
          <cell r="H898">
            <v>0</v>
          </cell>
        </row>
        <row r="899">
          <cell r="A899">
            <v>2876</v>
          </cell>
          <cell r="B899" t="str">
            <v>Moyen</v>
          </cell>
          <cell r="D899" t="str">
            <v>*</v>
          </cell>
          <cell r="F899">
            <v>1</v>
          </cell>
          <cell r="G899">
            <v>0</v>
          </cell>
          <cell r="H899">
            <v>510.44499999999999</v>
          </cell>
        </row>
        <row r="900">
          <cell r="A900">
            <v>2877</v>
          </cell>
          <cell r="B900" t="str">
            <v>Moyen</v>
          </cell>
          <cell r="D900" t="str">
            <v>*</v>
          </cell>
          <cell r="F900">
            <v>1</v>
          </cell>
          <cell r="G900">
            <v>0</v>
          </cell>
          <cell r="H900">
            <v>0</v>
          </cell>
        </row>
        <row r="901">
          <cell r="A901">
            <v>2878</v>
          </cell>
          <cell r="B901" t="str">
            <v>Moyen</v>
          </cell>
          <cell r="D901" t="str">
            <v>*</v>
          </cell>
          <cell r="F901">
            <v>1</v>
          </cell>
          <cell r="G901">
            <v>0</v>
          </cell>
          <cell r="H901">
            <v>1</v>
          </cell>
        </row>
        <row r="902">
          <cell r="A902">
            <v>2879</v>
          </cell>
          <cell r="B902" t="str">
            <v>Moyen</v>
          </cell>
          <cell r="D902" t="str">
            <v>*</v>
          </cell>
          <cell r="F902">
            <v>1</v>
          </cell>
          <cell r="G902">
            <v>0</v>
          </cell>
          <cell r="H902">
            <v>0</v>
          </cell>
        </row>
        <row r="903">
          <cell r="A903">
            <v>2880</v>
          </cell>
          <cell r="B903" t="str">
            <v>Moyen</v>
          </cell>
          <cell r="D903" t="str">
            <v>*</v>
          </cell>
          <cell r="F903">
            <v>1</v>
          </cell>
          <cell r="G903">
            <v>0</v>
          </cell>
          <cell r="H903">
            <v>0</v>
          </cell>
        </row>
        <row r="904">
          <cell r="A904">
            <v>2881</v>
          </cell>
          <cell r="B904" t="str">
            <v>Moyen</v>
          </cell>
          <cell r="D904" t="str">
            <v>*</v>
          </cell>
          <cell r="F904">
            <v>1</v>
          </cell>
          <cell r="G904">
            <v>0</v>
          </cell>
          <cell r="H904">
            <v>1568</v>
          </cell>
        </row>
        <row r="905">
          <cell r="A905">
            <v>2882</v>
          </cell>
          <cell r="B905" t="str">
            <v>Moyen</v>
          </cell>
          <cell r="D905" t="str">
            <v>*</v>
          </cell>
          <cell r="F905">
            <v>1</v>
          </cell>
          <cell r="G905">
            <v>0</v>
          </cell>
          <cell r="H905">
            <v>0</v>
          </cell>
        </row>
        <row r="906">
          <cell r="A906">
            <v>2883</v>
          </cell>
          <cell r="B906" t="str">
            <v>Moyen</v>
          </cell>
          <cell r="D906" t="str">
            <v>*</v>
          </cell>
          <cell r="F906">
            <v>1</v>
          </cell>
          <cell r="G906">
            <v>0</v>
          </cell>
          <cell r="H906">
            <v>439</v>
          </cell>
        </row>
        <row r="907">
          <cell r="A907">
            <v>2884</v>
          </cell>
          <cell r="B907" t="str">
            <v>Moyen</v>
          </cell>
          <cell r="D907" t="str">
            <v>*</v>
          </cell>
          <cell r="F907">
            <v>1</v>
          </cell>
          <cell r="G907">
            <v>0</v>
          </cell>
          <cell r="H907">
            <v>0</v>
          </cell>
        </row>
        <row r="908">
          <cell r="A908">
            <v>2885</v>
          </cell>
          <cell r="B908" t="str">
            <v>Moyen</v>
          </cell>
          <cell r="D908" t="str">
            <v>*</v>
          </cell>
          <cell r="F908">
            <v>1</v>
          </cell>
          <cell r="G908">
            <v>0</v>
          </cell>
          <cell r="H908">
            <v>5195</v>
          </cell>
        </row>
        <row r="909">
          <cell r="A909">
            <v>2886</v>
          </cell>
          <cell r="B909" t="str">
            <v>Moyen</v>
          </cell>
          <cell r="D909" t="str">
            <v>*</v>
          </cell>
          <cell r="F909">
            <v>1</v>
          </cell>
          <cell r="G909">
            <v>0</v>
          </cell>
          <cell r="H909">
            <v>0</v>
          </cell>
        </row>
        <row r="910">
          <cell r="A910">
            <v>2887</v>
          </cell>
          <cell r="B910" t="str">
            <v>Moyen</v>
          </cell>
          <cell r="D910" t="str">
            <v>*</v>
          </cell>
          <cell r="F910">
            <v>1</v>
          </cell>
          <cell r="G910">
            <v>0</v>
          </cell>
          <cell r="H910">
            <v>2750</v>
          </cell>
        </row>
        <row r="911">
          <cell r="A911">
            <v>2888</v>
          </cell>
          <cell r="B911" t="str">
            <v>Moyen</v>
          </cell>
          <cell r="D911" t="str">
            <v>*</v>
          </cell>
          <cell r="F911">
            <v>1</v>
          </cell>
          <cell r="G911">
            <v>0</v>
          </cell>
          <cell r="H911">
            <v>0</v>
          </cell>
        </row>
        <row r="912">
          <cell r="A912">
            <v>2889</v>
          </cell>
          <cell r="B912" t="str">
            <v>Moyen</v>
          </cell>
          <cell r="D912" t="str">
            <v>*</v>
          </cell>
          <cell r="F912">
            <v>1</v>
          </cell>
          <cell r="G912">
            <v>0</v>
          </cell>
          <cell r="H912">
            <v>0</v>
          </cell>
        </row>
        <row r="913">
          <cell r="A913">
            <v>2890</v>
          </cell>
          <cell r="B913" t="str">
            <v>Moyen</v>
          </cell>
          <cell r="D913" t="str">
            <v>*</v>
          </cell>
          <cell r="F913">
            <v>1</v>
          </cell>
          <cell r="G913">
            <v>0</v>
          </cell>
          <cell r="H913">
            <v>23539</v>
          </cell>
        </row>
        <row r="914">
          <cell r="A914">
            <v>2891</v>
          </cell>
          <cell r="B914" t="str">
            <v>Moyen</v>
          </cell>
          <cell r="D914" t="str">
            <v>*</v>
          </cell>
          <cell r="F914">
            <v>1</v>
          </cell>
          <cell r="G914">
            <v>0</v>
          </cell>
          <cell r="H914">
            <v>63777.5</v>
          </cell>
        </row>
        <row r="915">
          <cell r="A915">
            <v>2892</v>
          </cell>
          <cell r="B915" t="str">
            <v>Moyen</v>
          </cell>
          <cell r="D915" t="str">
            <v>*</v>
          </cell>
          <cell r="F915">
            <v>1</v>
          </cell>
          <cell r="G915">
            <v>0</v>
          </cell>
          <cell r="H915">
            <v>11425.2284596021</v>
          </cell>
        </row>
        <row r="916">
          <cell r="A916">
            <v>2893</v>
          </cell>
          <cell r="B916" t="str">
            <v>Moyen</v>
          </cell>
          <cell r="D916" t="str">
            <v>*</v>
          </cell>
          <cell r="F916">
            <v>1</v>
          </cell>
          <cell r="G916">
            <v>0</v>
          </cell>
          <cell r="H916">
            <v>1500</v>
          </cell>
        </row>
        <row r="917">
          <cell r="A917">
            <v>2894</v>
          </cell>
          <cell r="B917" t="str">
            <v>Moyen</v>
          </cell>
          <cell r="D917" t="str">
            <v>*</v>
          </cell>
          <cell r="F917">
            <v>1</v>
          </cell>
          <cell r="G917">
            <v>0</v>
          </cell>
          <cell r="H917">
            <v>12547</v>
          </cell>
        </row>
        <row r="918">
          <cell r="A918">
            <v>2895</v>
          </cell>
          <cell r="B918" t="str">
            <v>Moyen</v>
          </cell>
          <cell r="D918" t="str">
            <v>*</v>
          </cell>
          <cell r="F918">
            <v>1</v>
          </cell>
          <cell r="G918">
            <v>0</v>
          </cell>
          <cell r="H918">
            <v>30.836964014782598</v>
          </cell>
        </row>
        <row r="919">
          <cell r="A919">
            <v>2896</v>
          </cell>
          <cell r="B919" t="str">
            <v>Moyen</v>
          </cell>
          <cell r="D919" t="str">
            <v>*</v>
          </cell>
          <cell r="F919">
            <v>1</v>
          </cell>
          <cell r="G919">
            <v>0</v>
          </cell>
          <cell r="H919">
            <v>32.720345640219897</v>
          </cell>
        </row>
        <row r="920">
          <cell r="A920">
            <v>2897</v>
          </cell>
          <cell r="B920" t="str">
            <v>Moyen</v>
          </cell>
          <cell r="D920" t="str">
            <v>*</v>
          </cell>
          <cell r="F920">
            <v>1</v>
          </cell>
          <cell r="G920">
            <v>0</v>
          </cell>
          <cell r="H920">
            <v>36412</v>
          </cell>
        </row>
        <row r="921">
          <cell r="A921">
            <v>2898</v>
          </cell>
          <cell r="B921" t="str">
            <v>Moyen</v>
          </cell>
          <cell r="D921" t="str">
            <v>*</v>
          </cell>
          <cell r="F921">
            <v>1</v>
          </cell>
          <cell r="G921">
            <v>0</v>
          </cell>
          <cell r="H921">
            <v>28500</v>
          </cell>
        </row>
        <row r="922">
          <cell r="A922">
            <v>2899</v>
          </cell>
          <cell r="B922" t="str">
            <v>Moyen</v>
          </cell>
          <cell r="D922" t="str">
            <v>*</v>
          </cell>
          <cell r="F922">
            <v>1</v>
          </cell>
          <cell r="G922">
            <v>0</v>
          </cell>
          <cell r="H922">
            <v>450</v>
          </cell>
        </row>
        <row r="923">
          <cell r="A923">
            <v>2900</v>
          </cell>
          <cell r="B923" t="str">
            <v>Moyen</v>
          </cell>
          <cell r="D923" t="str">
            <v>*</v>
          </cell>
          <cell r="F923">
            <v>1</v>
          </cell>
          <cell r="G923">
            <v>0</v>
          </cell>
          <cell r="H923">
            <v>603</v>
          </cell>
        </row>
        <row r="924">
          <cell r="A924">
            <v>2901</v>
          </cell>
          <cell r="B924" t="str">
            <v>Moyen</v>
          </cell>
          <cell r="D924" t="str">
            <v>*</v>
          </cell>
          <cell r="F924">
            <v>1</v>
          </cell>
          <cell r="G924">
            <v>0</v>
          </cell>
          <cell r="H924">
            <v>0</v>
          </cell>
        </row>
        <row r="925">
          <cell r="A925">
            <v>2902</v>
          </cell>
          <cell r="B925" t="str">
            <v>Moyen</v>
          </cell>
          <cell r="D925" t="str">
            <v>*</v>
          </cell>
          <cell r="F925">
            <v>1</v>
          </cell>
          <cell r="G925">
            <v>0</v>
          </cell>
          <cell r="H925">
            <v>1726</v>
          </cell>
        </row>
        <row r="926">
          <cell r="A926">
            <v>2903</v>
          </cell>
          <cell r="B926" t="str">
            <v>Moyen</v>
          </cell>
          <cell r="D926" t="str">
            <v>*</v>
          </cell>
          <cell r="F926">
            <v>1</v>
          </cell>
          <cell r="G926">
            <v>0</v>
          </cell>
          <cell r="H926">
            <v>0</v>
          </cell>
        </row>
        <row r="927">
          <cell r="A927">
            <v>2904</v>
          </cell>
          <cell r="B927" t="str">
            <v>Moyen</v>
          </cell>
          <cell r="D927" t="str">
            <v>*</v>
          </cell>
          <cell r="F927">
            <v>1</v>
          </cell>
          <cell r="G927">
            <v>0</v>
          </cell>
          <cell r="H927">
            <v>0</v>
          </cell>
        </row>
        <row r="928">
          <cell r="A928">
            <v>2905</v>
          </cell>
          <cell r="B928" t="str">
            <v>Moyen</v>
          </cell>
          <cell r="D928" t="str">
            <v>*</v>
          </cell>
          <cell r="F928">
            <v>1</v>
          </cell>
          <cell r="G928">
            <v>0</v>
          </cell>
          <cell r="H928">
            <v>0</v>
          </cell>
        </row>
        <row r="929">
          <cell r="A929">
            <v>2906</v>
          </cell>
          <cell r="B929" t="str">
            <v>Moyen</v>
          </cell>
          <cell r="D929" t="str">
            <v>*</v>
          </cell>
          <cell r="F929">
            <v>1</v>
          </cell>
          <cell r="G929">
            <v>0</v>
          </cell>
          <cell r="H929">
            <v>867</v>
          </cell>
        </row>
        <row r="930">
          <cell r="A930">
            <v>2907</v>
          </cell>
          <cell r="B930" t="str">
            <v>Moyen</v>
          </cell>
          <cell r="D930" t="str">
            <v>*</v>
          </cell>
          <cell r="F930">
            <v>1</v>
          </cell>
          <cell r="G930">
            <v>0</v>
          </cell>
          <cell r="H930">
            <v>0</v>
          </cell>
        </row>
        <row r="931">
          <cell r="A931">
            <v>2908</v>
          </cell>
          <cell r="B931" t="str">
            <v>Moyen</v>
          </cell>
          <cell r="D931" t="str">
            <v>*</v>
          </cell>
          <cell r="F931">
            <v>1</v>
          </cell>
          <cell r="G931">
            <v>0</v>
          </cell>
          <cell r="H931">
            <v>2716</v>
          </cell>
        </row>
        <row r="932">
          <cell r="A932">
            <v>2909</v>
          </cell>
          <cell r="B932" t="str">
            <v>Moyen</v>
          </cell>
          <cell r="D932" t="str">
            <v>*</v>
          </cell>
          <cell r="F932">
            <v>1</v>
          </cell>
          <cell r="G932">
            <v>0</v>
          </cell>
          <cell r="H932">
            <v>108000</v>
          </cell>
        </row>
        <row r="933">
          <cell r="A933">
            <v>2910</v>
          </cell>
          <cell r="B933" t="str">
            <v>Moyen</v>
          </cell>
          <cell r="D933" t="str">
            <v>*</v>
          </cell>
          <cell r="F933">
            <v>1</v>
          </cell>
          <cell r="G933">
            <v>0</v>
          </cell>
          <cell r="H933">
            <v>113669</v>
          </cell>
        </row>
        <row r="934">
          <cell r="A934">
            <v>2911</v>
          </cell>
          <cell r="B934" t="str">
            <v>Moyen</v>
          </cell>
          <cell r="D934" t="str">
            <v>*</v>
          </cell>
          <cell r="F934">
            <v>1</v>
          </cell>
          <cell r="G934">
            <v>0</v>
          </cell>
          <cell r="H934">
            <v>94748</v>
          </cell>
        </row>
        <row r="935">
          <cell r="A935">
            <v>2912</v>
          </cell>
          <cell r="B935" t="str">
            <v>Moyen</v>
          </cell>
          <cell r="D935" t="str">
            <v>*</v>
          </cell>
          <cell r="F935">
            <v>1</v>
          </cell>
          <cell r="G935">
            <v>0</v>
          </cell>
          <cell r="H935">
            <v>0</v>
          </cell>
        </row>
        <row r="936">
          <cell r="A936">
            <v>2913</v>
          </cell>
          <cell r="B936" t="str">
            <v>Moyen</v>
          </cell>
          <cell r="D936" t="str">
            <v>*</v>
          </cell>
          <cell r="F936">
            <v>1</v>
          </cell>
          <cell r="G936">
            <v>0</v>
          </cell>
          <cell r="H936">
            <v>0</v>
          </cell>
        </row>
        <row r="937">
          <cell r="A937">
            <v>2914</v>
          </cell>
          <cell r="B937" t="str">
            <v>Moyen</v>
          </cell>
          <cell r="D937" t="str">
            <v>*</v>
          </cell>
          <cell r="F937">
            <v>1</v>
          </cell>
          <cell r="G937">
            <v>0</v>
          </cell>
          <cell r="H937">
            <v>1</v>
          </cell>
        </row>
        <row r="938">
          <cell r="A938">
            <v>2915</v>
          </cell>
          <cell r="B938" t="str">
            <v>Moyen</v>
          </cell>
          <cell r="D938" t="str">
            <v>*</v>
          </cell>
          <cell r="F938">
            <v>1</v>
          </cell>
          <cell r="G938">
            <v>0</v>
          </cell>
          <cell r="H938">
            <v>18461</v>
          </cell>
        </row>
        <row r="939">
          <cell r="A939">
            <v>2916</v>
          </cell>
          <cell r="B939" t="str">
            <v>Moyen</v>
          </cell>
          <cell r="D939" t="str">
            <v>*</v>
          </cell>
          <cell r="F939">
            <v>1</v>
          </cell>
          <cell r="G939">
            <v>0</v>
          </cell>
          <cell r="H939">
            <v>4130</v>
          </cell>
        </row>
        <row r="940">
          <cell r="A940">
            <v>2917</v>
          </cell>
          <cell r="B940" t="str">
            <v>Moyen</v>
          </cell>
          <cell r="D940" t="str">
            <v>*</v>
          </cell>
          <cell r="F940">
            <v>1</v>
          </cell>
          <cell r="G940">
            <v>0</v>
          </cell>
          <cell r="H940">
            <v>6225</v>
          </cell>
        </row>
        <row r="941">
          <cell r="A941">
            <v>2918</v>
          </cell>
          <cell r="B941" t="str">
            <v>Moyen</v>
          </cell>
          <cell r="D941" t="str">
            <v>*</v>
          </cell>
          <cell r="F941">
            <v>1</v>
          </cell>
          <cell r="G941">
            <v>0</v>
          </cell>
          <cell r="H941">
            <v>119700</v>
          </cell>
        </row>
        <row r="942">
          <cell r="A942">
            <v>2919</v>
          </cell>
          <cell r="B942" t="str">
            <v>Moyen</v>
          </cell>
          <cell r="D942" t="str">
            <v>*</v>
          </cell>
          <cell r="F942">
            <v>1</v>
          </cell>
          <cell r="G942">
            <v>0</v>
          </cell>
          <cell r="H942">
            <v>0</v>
          </cell>
        </row>
        <row r="943">
          <cell r="A943">
            <v>2920</v>
          </cell>
          <cell r="B943" t="str">
            <v>Moyen</v>
          </cell>
          <cell r="D943" t="str">
            <v>*</v>
          </cell>
          <cell r="F943">
            <v>1</v>
          </cell>
          <cell r="G943">
            <v>0</v>
          </cell>
          <cell r="H943">
            <v>0</v>
          </cell>
        </row>
        <row r="944">
          <cell r="A944">
            <v>2921</v>
          </cell>
          <cell r="B944" t="str">
            <v>Moyen</v>
          </cell>
          <cell r="D944" t="str">
            <v>*</v>
          </cell>
          <cell r="F944">
            <v>1</v>
          </cell>
          <cell r="G944">
            <v>0</v>
          </cell>
          <cell r="H944">
            <v>185762.714285714</v>
          </cell>
        </row>
        <row r="945">
          <cell r="A945">
            <v>2922</v>
          </cell>
          <cell r="B945" t="str">
            <v>Moyen</v>
          </cell>
          <cell r="D945" t="str">
            <v>*</v>
          </cell>
          <cell r="F945">
            <v>1</v>
          </cell>
          <cell r="G945">
            <v>0</v>
          </cell>
          <cell r="H945">
            <v>0</v>
          </cell>
        </row>
        <row r="946">
          <cell r="A946">
            <v>2923</v>
          </cell>
          <cell r="B946" t="str">
            <v>Moyen</v>
          </cell>
          <cell r="D946" t="str">
            <v>*</v>
          </cell>
          <cell r="F946">
            <v>1</v>
          </cell>
          <cell r="G946">
            <v>0</v>
          </cell>
          <cell r="H946">
            <v>0</v>
          </cell>
        </row>
        <row r="947">
          <cell r="A947">
            <v>2924</v>
          </cell>
          <cell r="B947" t="str">
            <v>Moyen</v>
          </cell>
          <cell r="D947" t="str">
            <v>*</v>
          </cell>
          <cell r="F947">
            <v>1</v>
          </cell>
          <cell r="G947">
            <v>0</v>
          </cell>
          <cell r="H947">
            <v>1000</v>
          </cell>
        </row>
        <row r="948">
          <cell r="A948">
            <v>2925</v>
          </cell>
          <cell r="B948" t="str">
            <v>Moyen</v>
          </cell>
          <cell r="D948" t="str">
            <v>*</v>
          </cell>
          <cell r="F948">
            <v>1</v>
          </cell>
          <cell r="G948">
            <v>0</v>
          </cell>
          <cell r="H948">
            <v>161831</v>
          </cell>
        </row>
        <row r="949">
          <cell r="A949">
            <v>2926</v>
          </cell>
          <cell r="B949" t="str">
            <v>Moyen</v>
          </cell>
          <cell r="D949" t="str">
            <v>*</v>
          </cell>
          <cell r="F949">
            <v>1</v>
          </cell>
          <cell r="G949">
            <v>0</v>
          </cell>
          <cell r="H949">
            <v>1691</v>
          </cell>
        </row>
        <row r="950">
          <cell r="A950">
            <v>2927</v>
          </cell>
          <cell r="B950" t="str">
            <v>Moyen</v>
          </cell>
          <cell r="D950" t="str">
            <v>*</v>
          </cell>
          <cell r="F950">
            <v>1</v>
          </cell>
          <cell r="G950">
            <v>0</v>
          </cell>
          <cell r="H950">
            <v>14</v>
          </cell>
        </row>
        <row r="951">
          <cell r="A951">
            <v>2928</v>
          </cell>
          <cell r="B951" t="str">
            <v>Moyen</v>
          </cell>
          <cell r="D951" t="str">
            <v>*</v>
          </cell>
          <cell r="F951">
            <v>1</v>
          </cell>
          <cell r="G951">
            <v>0</v>
          </cell>
          <cell r="H951">
            <v>784</v>
          </cell>
        </row>
        <row r="952">
          <cell r="A952">
            <v>2929</v>
          </cell>
          <cell r="B952" t="str">
            <v>Moyen</v>
          </cell>
          <cell r="D952" t="str">
            <v>*</v>
          </cell>
          <cell r="F952">
            <v>1</v>
          </cell>
          <cell r="G952">
            <v>0</v>
          </cell>
          <cell r="H952">
            <v>0</v>
          </cell>
        </row>
        <row r="953">
          <cell r="A953">
            <v>2930</v>
          </cell>
          <cell r="B953" t="str">
            <v>Moyen</v>
          </cell>
          <cell r="D953" t="str">
            <v>*</v>
          </cell>
          <cell r="F953">
            <v>1</v>
          </cell>
          <cell r="G953">
            <v>0</v>
          </cell>
          <cell r="H953">
            <v>0</v>
          </cell>
        </row>
        <row r="954">
          <cell r="A954">
            <v>2931</v>
          </cell>
          <cell r="B954" t="str">
            <v>Moyen</v>
          </cell>
          <cell r="D954" t="str">
            <v>*</v>
          </cell>
          <cell r="F954">
            <v>1</v>
          </cell>
          <cell r="G954">
            <v>0</v>
          </cell>
          <cell r="H954">
            <v>396</v>
          </cell>
        </row>
        <row r="955">
          <cell r="A955">
            <v>2932</v>
          </cell>
          <cell r="B955" t="str">
            <v>Moyen</v>
          </cell>
          <cell r="D955" t="str">
            <v>*</v>
          </cell>
          <cell r="F955">
            <v>1</v>
          </cell>
          <cell r="G955">
            <v>0</v>
          </cell>
          <cell r="H955">
            <v>47112</v>
          </cell>
        </row>
        <row r="956">
          <cell r="A956">
            <v>2933</v>
          </cell>
          <cell r="B956" t="str">
            <v>Moyen</v>
          </cell>
          <cell r="D956" t="str">
            <v>*</v>
          </cell>
          <cell r="F956">
            <v>1</v>
          </cell>
          <cell r="G956">
            <v>0</v>
          </cell>
          <cell r="H956">
            <v>8208</v>
          </cell>
        </row>
        <row r="957">
          <cell r="A957">
            <v>2934</v>
          </cell>
          <cell r="B957" t="str">
            <v>Moyen</v>
          </cell>
          <cell r="D957" t="str">
            <v>*</v>
          </cell>
          <cell r="F957">
            <v>1</v>
          </cell>
          <cell r="G957">
            <v>0</v>
          </cell>
          <cell r="H957">
            <v>11924</v>
          </cell>
        </row>
        <row r="958">
          <cell r="A958">
            <v>2935</v>
          </cell>
          <cell r="B958" t="str">
            <v>Moyen</v>
          </cell>
          <cell r="D958" t="str">
            <v>*</v>
          </cell>
          <cell r="F958">
            <v>1</v>
          </cell>
          <cell r="G958">
            <v>0</v>
          </cell>
          <cell r="H958">
            <v>2002</v>
          </cell>
        </row>
        <row r="959">
          <cell r="A959">
            <v>2936</v>
          </cell>
          <cell r="B959" t="str">
            <v>Moyen</v>
          </cell>
          <cell r="D959" t="str">
            <v>*</v>
          </cell>
          <cell r="F959">
            <v>1</v>
          </cell>
          <cell r="G959">
            <v>0</v>
          </cell>
          <cell r="H959">
            <v>2658</v>
          </cell>
        </row>
        <row r="960">
          <cell r="A960">
            <v>2937</v>
          </cell>
          <cell r="B960" t="str">
            <v>Moyen</v>
          </cell>
          <cell r="D960" t="str">
            <v>*</v>
          </cell>
          <cell r="F960">
            <v>1</v>
          </cell>
          <cell r="G960">
            <v>0</v>
          </cell>
          <cell r="H960">
            <v>289218</v>
          </cell>
        </row>
        <row r="961">
          <cell r="A961">
            <v>2938</v>
          </cell>
          <cell r="B961" t="str">
            <v>Moyen</v>
          </cell>
          <cell r="D961" t="str">
            <v>*</v>
          </cell>
          <cell r="F961">
            <v>1</v>
          </cell>
          <cell r="G961">
            <v>0</v>
          </cell>
          <cell r="H961">
            <v>163855</v>
          </cell>
        </row>
        <row r="962">
          <cell r="A962">
            <v>2939</v>
          </cell>
          <cell r="B962" t="str">
            <v>Moyen</v>
          </cell>
          <cell r="D962" t="str">
            <v>*</v>
          </cell>
          <cell r="F962">
            <v>1</v>
          </cell>
          <cell r="G962">
            <v>0</v>
          </cell>
          <cell r="H962">
            <v>15000</v>
          </cell>
        </row>
        <row r="963">
          <cell r="A963">
            <v>2940</v>
          </cell>
          <cell r="B963" t="str">
            <v>Moyen</v>
          </cell>
          <cell r="D963" t="str">
            <v>*</v>
          </cell>
          <cell r="F963">
            <v>1</v>
          </cell>
          <cell r="G963">
            <v>0</v>
          </cell>
          <cell r="H963">
            <v>2048200</v>
          </cell>
        </row>
        <row r="964">
          <cell r="A964">
            <v>2941</v>
          </cell>
          <cell r="B964" t="str">
            <v>Moyen</v>
          </cell>
          <cell r="D964" t="str">
            <v>*</v>
          </cell>
          <cell r="F964">
            <v>1</v>
          </cell>
          <cell r="G964">
            <v>0</v>
          </cell>
          <cell r="H964">
            <v>0</v>
          </cell>
        </row>
        <row r="965">
          <cell r="A965">
            <v>2942</v>
          </cell>
          <cell r="B965" t="str">
            <v>Moyen</v>
          </cell>
          <cell r="D965" t="str">
            <v>*</v>
          </cell>
          <cell r="F965">
            <v>1</v>
          </cell>
          <cell r="G965">
            <v>0</v>
          </cell>
          <cell r="H965">
            <v>2296</v>
          </cell>
        </row>
        <row r="966">
          <cell r="A966">
            <v>2943</v>
          </cell>
          <cell r="B966" t="str">
            <v>Moyen</v>
          </cell>
          <cell r="D966" t="str">
            <v>*</v>
          </cell>
          <cell r="F966">
            <v>1</v>
          </cell>
          <cell r="G966">
            <v>0</v>
          </cell>
          <cell r="H966">
            <v>1692</v>
          </cell>
        </row>
        <row r="967">
          <cell r="A967">
            <v>2944</v>
          </cell>
          <cell r="B967" t="str">
            <v>Moyen</v>
          </cell>
          <cell r="D967" t="str">
            <v>*</v>
          </cell>
          <cell r="F967">
            <v>1</v>
          </cell>
          <cell r="G967">
            <v>0</v>
          </cell>
          <cell r="H967">
            <v>55717</v>
          </cell>
        </row>
        <row r="968">
          <cell r="A968">
            <v>2945</v>
          </cell>
          <cell r="B968" t="str">
            <v>Moyen</v>
          </cell>
          <cell r="D968" t="str">
            <v>*</v>
          </cell>
          <cell r="F968">
            <v>1</v>
          </cell>
          <cell r="G968">
            <v>0</v>
          </cell>
          <cell r="H968">
            <v>0</v>
          </cell>
        </row>
        <row r="969">
          <cell r="A969">
            <v>2946</v>
          </cell>
          <cell r="B969" t="str">
            <v>Moyen</v>
          </cell>
          <cell r="D969" t="str">
            <v>*</v>
          </cell>
          <cell r="F969">
            <v>1</v>
          </cell>
          <cell r="G969">
            <v>0</v>
          </cell>
          <cell r="H969">
            <v>478914</v>
          </cell>
        </row>
        <row r="970">
          <cell r="A970">
            <v>2947</v>
          </cell>
          <cell r="B970" t="str">
            <v>Moyen</v>
          </cell>
          <cell r="D970" t="str">
            <v>*</v>
          </cell>
          <cell r="F970">
            <v>1</v>
          </cell>
          <cell r="G970">
            <v>0</v>
          </cell>
          <cell r="H970">
            <v>64259</v>
          </cell>
        </row>
        <row r="971">
          <cell r="A971">
            <v>2948</v>
          </cell>
          <cell r="B971" t="str">
            <v>Moyen</v>
          </cell>
          <cell r="D971" t="str">
            <v>*</v>
          </cell>
          <cell r="F971">
            <v>1</v>
          </cell>
          <cell r="G971">
            <v>0</v>
          </cell>
          <cell r="H971">
            <v>512</v>
          </cell>
        </row>
        <row r="972">
          <cell r="A972">
            <v>2949</v>
          </cell>
          <cell r="B972" t="str">
            <v>Moyen</v>
          </cell>
          <cell r="D972" t="str">
            <v>*</v>
          </cell>
          <cell r="F972">
            <v>1</v>
          </cell>
          <cell r="G972">
            <v>0</v>
          </cell>
          <cell r="H972">
            <v>1</v>
          </cell>
        </row>
        <row r="973">
          <cell r="A973">
            <v>2950</v>
          </cell>
          <cell r="B973" t="str">
            <v>Moyen</v>
          </cell>
          <cell r="D973" t="str">
            <v>*</v>
          </cell>
          <cell r="F973">
            <v>1</v>
          </cell>
          <cell r="G973">
            <v>0</v>
          </cell>
          <cell r="H973">
            <v>404200.7034</v>
          </cell>
        </row>
        <row r="974">
          <cell r="A974">
            <v>2951</v>
          </cell>
          <cell r="B974" t="str">
            <v>Moyen</v>
          </cell>
          <cell r="D974" t="str">
            <v>*</v>
          </cell>
          <cell r="F974">
            <v>1</v>
          </cell>
          <cell r="G974">
            <v>0</v>
          </cell>
          <cell r="H974">
            <v>0</v>
          </cell>
        </row>
        <row r="975">
          <cell r="A975">
            <v>2952</v>
          </cell>
          <cell r="B975" t="str">
            <v>Moyen</v>
          </cell>
          <cell r="D975" t="str">
            <v>*</v>
          </cell>
          <cell r="F975">
            <v>1</v>
          </cell>
          <cell r="G975">
            <v>0</v>
          </cell>
          <cell r="H975">
            <v>0</v>
          </cell>
        </row>
        <row r="976">
          <cell r="A976">
            <v>2953</v>
          </cell>
          <cell r="B976" t="str">
            <v>Moyen</v>
          </cell>
          <cell r="D976" t="str">
            <v>*</v>
          </cell>
          <cell r="F976">
            <v>1</v>
          </cell>
          <cell r="G976">
            <v>0</v>
          </cell>
          <cell r="H976">
            <v>916870</v>
          </cell>
        </row>
        <row r="977">
          <cell r="A977">
            <v>2954</v>
          </cell>
          <cell r="B977" t="str">
            <v>Moyen</v>
          </cell>
          <cell r="D977" t="str">
            <v>*</v>
          </cell>
          <cell r="F977">
            <v>1</v>
          </cell>
          <cell r="G977">
            <v>0</v>
          </cell>
          <cell r="H977">
            <v>0</v>
          </cell>
        </row>
        <row r="978">
          <cell r="A978">
            <v>2955</v>
          </cell>
          <cell r="B978" t="str">
            <v>Moyen</v>
          </cell>
          <cell r="D978" t="str">
            <v>*</v>
          </cell>
          <cell r="F978">
            <v>1</v>
          </cell>
          <cell r="G978">
            <v>0</v>
          </cell>
          <cell r="H978">
            <v>0</v>
          </cell>
        </row>
        <row r="979">
          <cell r="A979">
            <v>2956</v>
          </cell>
          <cell r="B979" t="str">
            <v>Moyen</v>
          </cell>
          <cell r="D979" t="str">
            <v>*</v>
          </cell>
          <cell r="F979">
            <v>1</v>
          </cell>
          <cell r="G979">
            <v>0</v>
          </cell>
          <cell r="H979">
            <v>0</v>
          </cell>
        </row>
        <row r="980">
          <cell r="A980">
            <v>2957</v>
          </cell>
          <cell r="B980" t="str">
            <v>Moyen</v>
          </cell>
          <cell r="D980" t="str">
            <v>*</v>
          </cell>
          <cell r="F980">
            <v>1</v>
          </cell>
          <cell r="G980">
            <v>0</v>
          </cell>
          <cell r="H980">
            <v>2550</v>
          </cell>
        </row>
        <row r="981">
          <cell r="A981">
            <v>2958</v>
          </cell>
          <cell r="B981" t="str">
            <v>Moyen</v>
          </cell>
          <cell r="D981" t="str">
            <v>*</v>
          </cell>
          <cell r="F981">
            <v>1</v>
          </cell>
          <cell r="G981">
            <v>0</v>
          </cell>
          <cell r="H981">
            <v>231905.845130909</v>
          </cell>
        </row>
        <row r="982">
          <cell r="A982">
            <v>2959</v>
          </cell>
          <cell r="B982" t="str">
            <v>Moyen</v>
          </cell>
          <cell r="D982" t="str">
            <v>*</v>
          </cell>
          <cell r="F982">
            <v>1</v>
          </cell>
          <cell r="G982">
            <v>0</v>
          </cell>
          <cell r="H982">
            <v>0</v>
          </cell>
        </row>
        <row r="983">
          <cell r="A983">
            <v>2960</v>
          </cell>
          <cell r="B983" t="str">
            <v>Moyen</v>
          </cell>
          <cell r="D983" t="str">
            <v>*</v>
          </cell>
          <cell r="F983">
            <v>1</v>
          </cell>
          <cell r="G983">
            <v>0</v>
          </cell>
          <cell r="H983">
            <v>0</v>
          </cell>
        </row>
        <row r="984">
          <cell r="A984">
            <v>2961</v>
          </cell>
          <cell r="B984" t="str">
            <v>Moyen</v>
          </cell>
          <cell r="D984" t="str">
            <v>*</v>
          </cell>
          <cell r="F984">
            <v>1</v>
          </cell>
          <cell r="G984">
            <v>0</v>
          </cell>
          <cell r="H984">
            <v>0</v>
          </cell>
        </row>
        <row r="985">
          <cell r="A985">
            <v>2962</v>
          </cell>
          <cell r="B985" t="str">
            <v>Moyen</v>
          </cell>
          <cell r="D985" t="str">
            <v>*</v>
          </cell>
          <cell r="F985">
            <v>1</v>
          </cell>
          <cell r="G985">
            <v>0</v>
          </cell>
          <cell r="H985">
            <v>0</v>
          </cell>
        </row>
        <row r="986">
          <cell r="A986">
            <v>2963</v>
          </cell>
          <cell r="B986" t="str">
            <v>Moyen</v>
          </cell>
          <cell r="D986" t="str">
            <v>*</v>
          </cell>
          <cell r="F986">
            <v>1</v>
          </cell>
          <cell r="G986">
            <v>0</v>
          </cell>
          <cell r="H986">
            <v>20000</v>
          </cell>
        </row>
        <row r="987">
          <cell r="A987">
            <v>2964</v>
          </cell>
          <cell r="B987" t="str">
            <v>Moyen</v>
          </cell>
          <cell r="D987" t="str">
            <v>*</v>
          </cell>
          <cell r="F987">
            <v>1</v>
          </cell>
          <cell r="G987">
            <v>0</v>
          </cell>
          <cell r="H987">
            <v>0</v>
          </cell>
        </row>
        <row r="988">
          <cell r="A988">
            <v>2965</v>
          </cell>
          <cell r="B988" t="str">
            <v>Moyen</v>
          </cell>
          <cell r="D988" t="str">
            <v>*</v>
          </cell>
          <cell r="F988">
            <v>1</v>
          </cell>
          <cell r="G988">
            <v>0</v>
          </cell>
          <cell r="H988">
            <v>0</v>
          </cell>
        </row>
        <row r="989">
          <cell r="A989">
            <v>2966</v>
          </cell>
          <cell r="B989" t="str">
            <v>Moyen</v>
          </cell>
          <cell r="D989" t="str">
            <v>*</v>
          </cell>
          <cell r="F989">
            <v>1</v>
          </cell>
          <cell r="G989">
            <v>0</v>
          </cell>
          <cell r="H989">
            <v>0</v>
          </cell>
        </row>
        <row r="990">
          <cell r="A990">
            <v>2967</v>
          </cell>
          <cell r="B990" t="str">
            <v>Moyen</v>
          </cell>
          <cell r="D990" t="str">
            <v>*</v>
          </cell>
          <cell r="F990">
            <v>1</v>
          </cell>
          <cell r="G990">
            <v>0</v>
          </cell>
          <cell r="H990">
            <v>0</v>
          </cell>
        </row>
        <row r="991">
          <cell r="A991">
            <v>2968</v>
          </cell>
          <cell r="B991" t="str">
            <v>Moyen</v>
          </cell>
          <cell r="D991" t="str">
            <v>*</v>
          </cell>
          <cell r="F991">
            <v>1</v>
          </cell>
          <cell r="G991">
            <v>0</v>
          </cell>
          <cell r="H991">
            <v>0</v>
          </cell>
        </row>
        <row r="992">
          <cell r="A992">
            <v>2969</v>
          </cell>
          <cell r="B992" t="str">
            <v>Moyen</v>
          </cell>
          <cell r="D992" t="str">
            <v>*</v>
          </cell>
          <cell r="F992">
            <v>1</v>
          </cell>
          <cell r="G992">
            <v>0</v>
          </cell>
          <cell r="H992">
            <v>0</v>
          </cell>
        </row>
        <row r="993">
          <cell r="A993">
            <v>2970</v>
          </cell>
          <cell r="B993" t="str">
            <v>Moyen</v>
          </cell>
          <cell r="D993" t="str">
            <v>*</v>
          </cell>
          <cell r="F993">
            <v>1</v>
          </cell>
          <cell r="G993">
            <v>0</v>
          </cell>
          <cell r="H993">
            <v>148456</v>
          </cell>
        </row>
        <row r="994">
          <cell r="A994">
            <v>2971</v>
          </cell>
          <cell r="B994" t="str">
            <v>Moyen</v>
          </cell>
          <cell r="D994" t="str">
            <v>*</v>
          </cell>
          <cell r="F994">
            <v>1</v>
          </cell>
          <cell r="G994">
            <v>0</v>
          </cell>
          <cell r="H994">
            <v>0</v>
          </cell>
        </row>
        <row r="995">
          <cell r="A995">
            <v>2972</v>
          </cell>
          <cell r="B995" t="str">
            <v>Moyen</v>
          </cell>
          <cell r="D995" t="str">
            <v>*</v>
          </cell>
          <cell r="F995">
            <v>1</v>
          </cell>
          <cell r="G995">
            <v>0</v>
          </cell>
          <cell r="H995">
            <v>0</v>
          </cell>
        </row>
        <row r="996">
          <cell r="A996">
            <v>2973</v>
          </cell>
          <cell r="B996" t="str">
            <v>Moyen</v>
          </cell>
          <cell r="D996" t="str">
            <v>*</v>
          </cell>
          <cell r="F996">
            <v>1</v>
          </cell>
          <cell r="G996">
            <v>0</v>
          </cell>
          <cell r="H996">
            <v>0</v>
          </cell>
        </row>
        <row r="997">
          <cell r="A997">
            <v>2974</v>
          </cell>
          <cell r="B997" t="str">
            <v>Moyen</v>
          </cell>
          <cell r="D997" t="str">
            <v>*</v>
          </cell>
          <cell r="F997">
            <v>1</v>
          </cell>
          <cell r="G997">
            <v>0</v>
          </cell>
          <cell r="H997">
            <v>0</v>
          </cell>
        </row>
        <row r="998">
          <cell r="A998">
            <v>2975</v>
          </cell>
          <cell r="B998" t="str">
            <v>Moyen</v>
          </cell>
          <cell r="D998" t="str">
            <v>*</v>
          </cell>
          <cell r="F998">
            <v>1</v>
          </cell>
          <cell r="G998">
            <v>0</v>
          </cell>
          <cell r="H998">
            <v>0</v>
          </cell>
        </row>
        <row r="999">
          <cell r="A999">
            <v>2976</v>
          </cell>
          <cell r="B999" t="str">
            <v>Moyen</v>
          </cell>
          <cell r="D999" t="str">
            <v>*</v>
          </cell>
          <cell r="F999">
            <v>1</v>
          </cell>
          <cell r="G999">
            <v>0</v>
          </cell>
          <cell r="H999">
            <v>0</v>
          </cell>
        </row>
        <row r="1000">
          <cell r="A1000">
            <v>2977</v>
          </cell>
          <cell r="B1000" t="str">
            <v>Moyen</v>
          </cell>
          <cell r="D1000" t="str">
            <v>*</v>
          </cell>
          <cell r="F1000">
            <v>1</v>
          </cell>
          <cell r="G1000">
            <v>0</v>
          </cell>
          <cell r="H1000">
            <v>1897.4671351899999</v>
          </cell>
        </row>
        <row r="1001">
          <cell r="A1001">
            <v>2978</v>
          </cell>
          <cell r="B1001" t="str">
            <v>Moyen</v>
          </cell>
          <cell r="D1001" t="str">
            <v>*</v>
          </cell>
          <cell r="F1001">
            <v>1</v>
          </cell>
          <cell r="G1001">
            <v>0</v>
          </cell>
          <cell r="H1001">
            <v>2824</v>
          </cell>
        </row>
        <row r="1002">
          <cell r="A1002">
            <v>2979</v>
          </cell>
          <cell r="B1002" t="str">
            <v>Moyen</v>
          </cell>
          <cell r="D1002" t="str">
            <v>*</v>
          </cell>
          <cell r="F1002">
            <v>1</v>
          </cell>
          <cell r="G1002">
            <v>0</v>
          </cell>
          <cell r="H1002">
            <v>761441</v>
          </cell>
        </row>
        <row r="1003">
          <cell r="A1003">
            <v>2980</v>
          </cell>
          <cell r="B1003" t="str">
            <v>Moyen</v>
          </cell>
          <cell r="D1003" t="str">
            <v>*</v>
          </cell>
          <cell r="F1003">
            <v>1</v>
          </cell>
          <cell r="G1003">
            <v>0</v>
          </cell>
          <cell r="H1003">
            <v>0</v>
          </cell>
        </row>
        <row r="1004">
          <cell r="A1004">
            <v>2981</v>
          </cell>
          <cell r="B1004" t="str">
            <v>Moyen</v>
          </cell>
          <cell r="D1004" t="str">
            <v>*</v>
          </cell>
          <cell r="F1004">
            <v>1</v>
          </cell>
          <cell r="G1004">
            <v>0</v>
          </cell>
          <cell r="H1004">
            <v>0</v>
          </cell>
        </row>
        <row r="1005">
          <cell r="A1005">
            <v>2982</v>
          </cell>
          <cell r="B1005" t="str">
            <v>Moyen</v>
          </cell>
          <cell r="D1005" t="str">
            <v>*</v>
          </cell>
          <cell r="F1005">
            <v>1</v>
          </cell>
          <cell r="G1005">
            <v>0</v>
          </cell>
          <cell r="H1005">
            <v>0</v>
          </cell>
        </row>
        <row r="1006">
          <cell r="A1006">
            <v>2983</v>
          </cell>
          <cell r="B1006" t="str">
            <v>Moyen</v>
          </cell>
          <cell r="D1006" t="str">
            <v>*</v>
          </cell>
          <cell r="F1006">
            <v>1</v>
          </cell>
          <cell r="G1006">
            <v>0</v>
          </cell>
          <cell r="H1006">
            <v>0</v>
          </cell>
        </row>
        <row r="1007">
          <cell r="A1007">
            <v>2984</v>
          </cell>
          <cell r="B1007" t="str">
            <v>Moyen</v>
          </cell>
          <cell r="D1007" t="str">
            <v>*</v>
          </cell>
          <cell r="F1007">
            <v>1</v>
          </cell>
          <cell r="G1007">
            <v>0</v>
          </cell>
          <cell r="H1007">
            <v>0</v>
          </cell>
        </row>
        <row r="1008">
          <cell r="A1008">
            <v>2985</v>
          </cell>
          <cell r="B1008" t="str">
            <v>Moyen</v>
          </cell>
          <cell r="D1008" t="str">
            <v>*</v>
          </cell>
          <cell r="F1008">
            <v>1</v>
          </cell>
          <cell r="G1008">
            <v>0</v>
          </cell>
          <cell r="H1008">
            <v>0</v>
          </cell>
        </row>
        <row r="1009">
          <cell r="A1009">
            <v>2986</v>
          </cell>
          <cell r="B1009" t="str">
            <v>Moyen</v>
          </cell>
          <cell r="D1009" t="str">
            <v>*</v>
          </cell>
          <cell r="F1009">
            <v>1</v>
          </cell>
          <cell r="G1009">
            <v>0</v>
          </cell>
          <cell r="H1009">
            <v>0</v>
          </cell>
        </row>
        <row r="1010">
          <cell r="A1010">
            <v>2987</v>
          </cell>
          <cell r="B1010" t="str">
            <v>Moyen</v>
          </cell>
          <cell r="D1010" t="str">
            <v>*</v>
          </cell>
          <cell r="F1010">
            <v>1</v>
          </cell>
          <cell r="G1010">
            <v>0</v>
          </cell>
          <cell r="H1010">
            <v>814520</v>
          </cell>
        </row>
        <row r="1011">
          <cell r="A1011">
            <v>2988</v>
          </cell>
          <cell r="B1011" t="str">
            <v>Moyen</v>
          </cell>
          <cell r="D1011" t="str">
            <v>*</v>
          </cell>
          <cell r="F1011">
            <v>1</v>
          </cell>
          <cell r="G1011">
            <v>0</v>
          </cell>
          <cell r="H1011">
            <v>0</v>
          </cell>
        </row>
        <row r="1012">
          <cell r="A1012">
            <v>2989</v>
          </cell>
          <cell r="B1012" t="str">
            <v>Moyen</v>
          </cell>
          <cell r="D1012" t="str">
            <v>*</v>
          </cell>
          <cell r="F1012">
            <v>1</v>
          </cell>
          <cell r="G1012">
            <v>0</v>
          </cell>
          <cell r="H1012">
            <v>153133</v>
          </cell>
        </row>
        <row r="1013">
          <cell r="A1013">
            <v>2990</v>
          </cell>
          <cell r="B1013" t="str">
            <v>Moyen</v>
          </cell>
          <cell r="D1013" t="str">
            <v>*</v>
          </cell>
          <cell r="F1013">
            <v>1</v>
          </cell>
          <cell r="G1013">
            <v>0</v>
          </cell>
          <cell r="H1013">
            <v>143195</v>
          </cell>
        </row>
        <row r="1014">
          <cell r="A1014">
            <v>2991</v>
          </cell>
          <cell r="B1014" t="str">
            <v>Moyen</v>
          </cell>
          <cell r="D1014" t="str">
            <v>*</v>
          </cell>
          <cell r="F1014">
            <v>1</v>
          </cell>
          <cell r="G1014">
            <v>0</v>
          </cell>
          <cell r="H1014">
            <v>830431</v>
          </cell>
        </row>
        <row r="1015">
          <cell r="A1015">
            <v>2992</v>
          </cell>
          <cell r="B1015" t="str">
            <v>Moyen</v>
          </cell>
          <cell r="D1015" t="str">
            <v>*</v>
          </cell>
          <cell r="F1015">
            <v>1</v>
          </cell>
          <cell r="G1015">
            <v>0</v>
          </cell>
          <cell r="H1015">
            <v>2006400</v>
          </cell>
        </row>
        <row r="1016">
          <cell r="A1016">
            <v>2993</v>
          </cell>
          <cell r="B1016" t="str">
            <v>Moyen</v>
          </cell>
          <cell r="D1016" t="str">
            <v>*</v>
          </cell>
          <cell r="F1016">
            <v>1</v>
          </cell>
          <cell r="G1016">
            <v>0</v>
          </cell>
          <cell r="H1016">
            <v>73118.514617400899</v>
          </cell>
        </row>
        <row r="1017">
          <cell r="A1017">
            <v>2994</v>
          </cell>
          <cell r="B1017" t="str">
            <v>Moyen</v>
          </cell>
          <cell r="D1017" t="str">
            <v>*</v>
          </cell>
          <cell r="F1017">
            <v>1</v>
          </cell>
          <cell r="G1017">
            <v>0</v>
          </cell>
          <cell r="H1017">
            <v>192223</v>
          </cell>
        </row>
        <row r="1018">
          <cell r="A1018">
            <v>2995</v>
          </cell>
          <cell r="B1018" t="str">
            <v>Moyen</v>
          </cell>
          <cell r="D1018" t="str">
            <v>*</v>
          </cell>
          <cell r="F1018">
            <v>1</v>
          </cell>
          <cell r="G1018">
            <v>0</v>
          </cell>
          <cell r="H1018">
            <v>501600</v>
          </cell>
        </row>
        <row r="1019">
          <cell r="A1019">
            <v>2996</v>
          </cell>
          <cell r="B1019" t="str">
            <v>Moyen</v>
          </cell>
          <cell r="D1019" t="str">
            <v>*</v>
          </cell>
          <cell r="F1019">
            <v>1</v>
          </cell>
          <cell r="G1019">
            <v>0</v>
          </cell>
          <cell r="H1019">
            <v>515376</v>
          </cell>
        </row>
        <row r="1020">
          <cell r="A1020">
            <v>2997</v>
          </cell>
          <cell r="B1020" t="str">
            <v>Moyen</v>
          </cell>
          <cell r="D1020" t="str">
            <v>*</v>
          </cell>
          <cell r="F1020">
            <v>1</v>
          </cell>
          <cell r="G1020">
            <v>0</v>
          </cell>
          <cell r="H1020">
            <v>45662</v>
          </cell>
        </row>
        <row r="1021">
          <cell r="A1021">
            <v>2998</v>
          </cell>
          <cell r="B1021" t="str">
            <v>Moyen</v>
          </cell>
          <cell r="D1021" t="str">
            <v>*</v>
          </cell>
          <cell r="F1021">
            <v>1</v>
          </cell>
          <cell r="G1021">
            <v>0</v>
          </cell>
          <cell r="H1021">
            <v>40766</v>
          </cell>
        </row>
        <row r="1022">
          <cell r="A1022">
            <v>2999</v>
          </cell>
          <cell r="B1022" t="str">
            <v>Moyen</v>
          </cell>
          <cell r="D1022" t="str">
            <v>*</v>
          </cell>
          <cell r="F1022">
            <v>1</v>
          </cell>
          <cell r="G1022">
            <v>0</v>
          </cell>
          <cell r="H1022">
            <v>95770</v>
          </cell>
        </row>
        <row r="1023">
          <cell r="A1023">
            <v>3000</v>
          </cell>
          <cell r="B1023" t="str">
            <v>Moyen</v>
          </cell>
          <cell r="D1023" t="str">
            <v>*</v>
          </cell>
          <cell r="F1023">
            <v>1</v>
          </cell>
          <cell r="G1023">
            <v>0</v>
          </cell>
          <cell r="H1023">
            <v>270864</v>
          </cell>
        </row>
        <row r="1024">
          <cell r="A1024">
            <v>3001</v>
          </cell>
          <cell r="B1024" t="str">
            <v>Moyen</v>
          </cell>
          <cell r="D1024" t="str">
            <v>*</v>
          </cell>
          <cell r="F1024">
            <v>1</v>
          </cell>
          <cell r="G1024">
            <v>0</v>
          </cell>
          <cell r="H1024">
            <v>354696</v>
          </cell>
        </row>
        <row r="1025">
          <cell r="A1025">
            <v>3002</v>
          </cell>
          <cell r="B1025" t="str">
            <v>Moyen</v>
          </cell>
          <cell r="D1025" t="str">
            <v>*</v>
          </cell>
          <cell r="F1025">
            <v>1</v>
          </cell>
          <cell r="G1025">
            <v>0</v>
          </cell>
          <cell r="H1025">
            <v>218497</v>
          </cell>
        </row>
        <row r="1026">
          <cell r="A1026">
            <v>3003</v>
          </cell>
          <cell r="B1026" t="str">
            <v>Moyen</v>
          </cell>
          <cell r="D1026" t="str">
            <v>*</v>
          </cell>
          <cell r="F1026">
            <v>1</v>
          </cell>
          <cell r="G1026">
            <v>0</v>
          </cell>
          <cell r="H1026">
            <v>3219.8852754089098</v>
          </cell>
        </row>
        <row r="1027">
          <cell r="A1027">
            <v>3004</v>
          </cell>
          <cell r="B1027" t="str">
            <v>Moyen</v>
          </cell>
          <cell r="D1027" t="str">
            <v>*</v>
          </cell>
          <cell r="F1027">
            <v>1</v>
          </cell>
          <cell r="G1027">
            <v>0</v>
          </cell>
          <cell r="H1027">
            <v>224048</v>
          </cell>
        </row>
        <row r="1028">
          <cell r="A1028">
            <v>3005</v>
          </cell>
          <cell r="B1028" t="str">
            <v>Moyen</v>
          </cell>
          <cell r="D1028" t="str">
            <v>*</v>
          </cell>
          <cell r="F1028">
            <v>1</v>
          </cell>
          <cell r="G1028">
            <v>0</v>
          </cell>
          <cell r="H1028">
            <v>203680</v>
          </cell>
        </row>
        <row r="1029">
          <cell r="A1029">
            <v>3006</v>
          </cell>
          <cell r="B1029" t="str">
            <v>Moyen</v>
          </cell>
          <cell r="D1029" t="str">
            <v>*</v>
          </cell>
          <cell r="F1029">
            <v>1</v>
          </cell>
          <cell r="G1029">
            <v>0</v>
          </cell>
          <cell r="H1029">
            <v>953035</v>
          </cell>
        </row>
        <row r="1030">
          <cell r="A1030">
            <v>3007</v>
          </cell>
          <cell r="B1030" t="str">
            <v>Moyen</v>
          </cell>
          <cell r="D1030" t="str">
            <v>*</v>
          </cell>
          <cell r="F1030">
            <v>1</v>
          </cell>
          <cell r="G1030">
            <v>0</v>
          </cell>
          <cell r="H1030">
            <v>203301</v>
          </cell>
        </row>
        <row r="1031">
          <cell r="A1031">
            <v>3008</v>
          </cell>
          <cell r="B1031" t="str">
            <v>Moyen</v>
          </cell>
          <cell r="D1031" t="str">
            <v>*</v>
          </cell>
          <cell r="F1031">
            <v>1</v>
          </cell>
          <cell r="G1031">
            <v>0</v>
          </cell>
          <cell r="H1031">
            <v>203301</v>
          </cell>
        </row>
        <row r="1032">
          <cell r="A1032">
            <v>3009</v>
          </cell>
          <cell r="B1032" t="str">
            <v>Moyen</v>
          </cell>
          <cell r="D1032" t="str">
            <v>*</v>
          </cell>
          <cell r="F1032">
            <v>1</v>
          </cell>
          <cell r="G1032">
            <v>0</v>
          </cell>
          <cell r="H1032">
            <v>230668</v>
          </cell>
        </row>
        <row r="1033">
          <cell r="A1033">
            <v>3010</v>
          </cell>
          <cell r="B1033" t="str">
            <v>Moyen</v>
          </cell>
          <cell r="D1033" t="str">
            <v>*</v>
          </cell>
          <cell r="F1033">
            <v>1</v>
          </cell>
          <cell r="G1033">
            <v>0</v>
          </cell>
          <cell r="H1033">
            <v>1985495</v>
          </cell>
        </row>
        <row r="1034">
          <cell r="A1034">
            <v>3011</v>
          </cell>
          <cell r="B1034" t="str">
            <v>Moyen</v>
          </cell>
          <cell r="D1034" t="str">
            <v>*</v>
          </cell>
          <cell r="F1034">
            <v>1</v>
          </cell>
          <cell r="G1034">
            <v>0</v>
          </cell>
          <cell r="H1034">
            <v>1111885</v>
          </cell>
        </row>
        <row r="1035">
          <cell r="A1035">
            <v>3012</v>
          </cell>
          <cell r="B1035" t="str">
            <v>Moyen</v>
          </cell>
          <cell r="D1035" t="str">
            <v>*</v>
          </cell>
          <cell r="F1035">
            <v>1</v>
          </cell>
          <cell r="G1035">
            <v>0</v>
          </cell>
          <cell r="H1035">
            <v>1413674</v>
          </cell>
        </row>
        <row r="1036">
          <cell r="A1036">
            <v>3013</v>
          </cell>
          <cell r="B1036" t="str">
            <v>Moyen</v>
          </cell>
          <cell r="D1036" t="str">
            <v>*</v>
          </cell>
          <cell r="F1036">
            <v>1</v>
          </cell>
          <cell r="G1036">
            <v>0</v>
          </cell>
          <cell r="H1036">
            <v>825960</v>
          </cell>
        </row>
        <row r="1037">
          <cell r="A1037">
            <v>3014</v>
          </cell>
          <cell r="B1037" t="str">
            <v>Moyen</v>
          </cell>
          <cell r="D1037" t="str">
            <v>*</v>
          </cell>
          <cell r="F1037">
            <v>1</v>
          </cell>
          <cell r="G1037">
            <v>0</v>
          </cell>
          <cell r="H1037">
            <v>202340</v>
          </cell>
        </row>
        <row r="1038">
          <cell r="A1038">
            <v>3015</v>
          </cell>
          <cell r="B1038" t="str">
            <v>Moyen</v>
          </cell>
          <cell r="D1038" t="str">
            <v>*</v>
          </cell>
          <cell r="F1038">
            <v>1</v>
          </cell>
          <cell r="G1038">
            <v>0</v>
          </cell>
          <cell r="H1038">
            <v>953035</v>
          </cell>
        </row>
        <row r="1039">
          <cell r="A1039">
            <v>3016</v>
          </cell>
          <cell r="B1039" t="str">
            <v>Moyen</v>
          </cell>
          <cell r="D1039" t="str">
            <v>*</v>
          </cell>
          <cell r="F1039">
            <v>1</v>
          </cell>
          <cell r="G1039">
            <v>0</v>
          </cell>
          <cell r="H1039">
            <v>192280</v>
          </cell>
        </row>
        <row r="1040">
          <cell r="A1040">
            <v>3017</v>
          </cell>
          <cell r="B1040" t="str">
            <v>Moyen</v>
          </cell>
          <cell r="D1040" t="str">
            <v>*</v>
          </cell>
          <cell r="F1040">
            <v>1</v>
          </cell>
          <cell r="G1040">
            <v>0</v>
          </cell>
          <cell r="H1040">
            <v>212841</v>
          </cell>
        </row>
        <row r="1041">
          <cell r="A1041">
            <v>3018</v>
          </cell>
          <cell r="B1041" t="str">
            <v>Moyen</v>
          </cell>
          <cell r="D1041" t="str">
            <v>*</v>
          </cell>
          <cell r="F1041">
            <v>1</v>
          </cell>
          <cell r="G1041">
            <v>0</v>
          </cell>
          <cell r="H1041">
            <v>141031</v>
          </cell>
        </row>
        <row r="1042">
          <cell r="A1042">
            <v>3019</v>
          </cell>
          <cell r="B1042" t="str">
            <v>Moyen</v>
          </cell>
          <cell r="D1042" t="str">
            <v>*</v>
          </cell>
          <cell r="F1042">
            <v>1</v>
          </cell>
          <cell r="G1042">
            <v>0</v>
          </cell>
          <cell r="H1042">
            <v>98394</v>
          </cell>
        </row>
        <row r="1043">
          <cell r="A1043">
            <v>3020</v>
          </cell>
          <cell r="B1043" t="str">
            <v>Moyen</v>
          </cell>
          <cell r="D1043" t="str">
            <v>*</v>
          </cell>
          <cell r="F1043">
            <v>1</v>
          </cell>
          <cell r="G1043">
            <v>0</v>
          </cell>
          <cell r="H1043">
            <v>953035</v>
          </cell>
        </row>
        <row r="1044">
          <cell r="A1044">
            <v>3021</v>
          </cell>
          <cell r="B1044" t="str">
            <v>Moyen</v>
          </cell>
          <cell r="D1044" t="str">
            <v>*</v>
          </cell>
          <cell r="F1044">
            <v>1</v>
          </cell>
          <cell r="G1044">
            <v>0</v>
          </cell>
          <cell r="H1044">
            <v>0</v>
          </cell>
        </row>
        <row r="1045">
          <cell r="A1045">
            <v>3022</v>
          </cell>
          <cell r="B1045" t="str">
            <v>Moyen</v>
          </cell>
          <cell r="D1045" t="str">
            <v>*</v>
          </cell>
          <cell r="F1045">
            <v>1</v>
          </cell>
          <cell r="G1045">
            <v>0</v>
          </cell>
          <cell r="H1045">
            <v>147964</v>
          </cell>
        </row>
        <row r="1046">
          <cell r="A1046">
            <v>3023</v>
          </cell>
          <cell r="B1046" t="str">
            <v>Moyen</v>
          </cell>
          <cell r="D1046" t="str">
            <v>*</v>
          </cell>
          <cell r="F1046">
            <v>1</v>
          </cell>
          <cell r="G1046">
            <v>0</v>
          </cell>
          <cell r="H1046">
            <v>0</v>
          </cell>
        </row>
        <row r="1047">
          <cell r="A1047">
            <v>3024</v>
          </cell>
          <cell r="B1047" t="str">
            <v>Moyen</v>
          </cell>
          <cell r="D1047" t="str">
            <v>*</v>
          </cell>
          <cell r="F1047">
            <v>1</v>
          </cell>
          <cell r="G1047">
            <v>0</v>
          </cell>
          <cell r="H1047">
            <v>1846</v>
          </cell>
        </row>
        <row r="1048">
          <cell r="A1048">
            <v>3025</v>
          </cell>
          <cell r="B1048" t="str">
            <v>Moyen</v>
          </cell>
          <cell r="D1048" t="str">
            <v>*</v>
          </cell>
          <cell r="F1048">
            <v>1</v>
          </cell>
          <cell r="G1048">
            <v>0</v>
          </cell>
          <cell r="H1048">
            <v>658432</v>
          </cell>
        </row>
        <row r="1049">
          <cell r="A1049">
            <v>3026</v>
          </cell>
          <cell r="B1049" t="str">
            <v>Moyen</v>
          </cell>
          <cell r="D1049" t="str">
            <v>*</v>
          </cell>
          <cell r="F1049">
            <v>1</v>
          </cell>
          <cell r="G1049">
            <v>0</v>
          </cell>
          <cell r="H1049">
            <v>515605</v>
          </cell>
        </row>
        <row r="1050">
          <cell r="A1050">
            <v>3027</v>
          </cell>
          <cell r="B1050" t="str">
            <v>Moyen</v>
          </cell>
          <cell r="D1050" t="str">
            <v>*</v>
          </cell>
          <cell r="F1050">
            <v>1</v>
          </cell>
          <cell r="G1050">
            <v>0</v>
          </cell>
          <cell r="H1050">
            <v>755808</v>
          </cell>
        </row>
        <row r="1051">
          <cell r="A1051">
            <v>3028</v>
          </cell>
          <cell r="B1051" t="str">
            <v>Moyen</v>
          </cell>
          <cell r="D1051" t="str">
            <v>*</v>
          </cell>
          <cell r="F1051">
            <v>1</v>
          </cell>
          <cell r="G1051">
            <v>0</v>
          </cell>
          <cell r="H1051">
            <v>755808</v>
          </cell>
        </row>
        <row r="1052">
          <cell r="A1052">
            <v>3029</v>
          </cell>
          <cell r="B1052" t="str">
            <v>Moyen</v>
          </cell>
          <cell r="D1052" t="str">
            <v>*</v>
          </cell>
          <cell r="F1052">
            <v>1</v>
          </cell>
          <cell r="G1052">
            <v>0</v>
          </cell>
          <cell r="H1052">
            <v>3761997</v>
          </cell>
        </row>
        <row r="1053">
          <cell r="A1053">
            <v>3030</v>
          </cell>
          <cell r="B1053" t="str">
            <v>Moyen</v>
          </cell>
          <cell r="D1053" t="str">
            <v>*</v>
          </cell>
          <cell r="F1053">
            <v>1</v>
          </cell>
          <cell r="G1053">
            <v>0</v>
          </cell>
          <cell r="H1053">
            <v>244418</v>
          </cell>
        </row>
        <row r="1054">
          <cell r="A1054">
            <v>3031</v>
          </cell>
          <cell r="B1054" t="str">
            <v>Moyen</v>
          </cell>
          <cell r="D1054" t="str">
            <v>*</v>
          </cell>
          <cell r="F1054">
            <v>1</v>
          </cell>
          <cell r="G1054">
            <v>0</v>
          </cell>
          <cell r="H1054">
            <v>288335</v>
          </cell>
        </row>
        <row r="1055">
          <cell r="A1055">
            <v>3032</v>
          </cell>
          <cell r="B1055" t="str">
            <v>Moyen</v>
          </cell>
          <cell r="D1055" t="str">
            <v>*</v>
          </cell>
          <cell r="F1055">
            <v>1</v>
          </cell>
          <cell r="G1055">
            <v>0</v>
          </cell>
          <cell r="H1055">
            <v>2403</v>
          </cell>
        </row>
        <row r="1056">
          <cell r="A1056">
            <v>3033</v>
          </cell>
          <cell r="B1056" t="str">
            <v>Moyen</v>
          </cell>
          <cell r="D1056" t="str">
            <v>*</v>
          </cell>
          <cell r="F1056">
            <v>1</v>
          </cell>
          <cell r="G1056">
            <v>0</v>
          </cell>
          <cell r="H1056">
            <v>30972</v>
          </cell>
        </row>
        <row r="1057">
          <cell r="A1057">
            <v>3034</v>
          </cell>
          <cell r="B1057" t="str">
            <v>Moyen</v>
          </cell>
          <cell r="D1057" t="str">
            <v>*</v>
          </cell>
          <cell r="F1057">
            <v>1</v>
          </cell>
          <cell r="G1057">
            <v>0</v>
          </cell>
          <cell r="H1057">
            <v>98980</v>
          </cell>
        </row>
        <row r="1058">
          <cell r="A1058">
            <v>3035</v>
          </cell>
          <cell r="B1058" t="str">
            <v>Moyen</v>
          </cell>
          <cell r="D1058" t="str">
            <v>*</v>
          </cell>
          <cell r="F1058">
            <v>1</v>
          </cell>
          <cell r="G1058">
            <v>0</v>
          </cell>
          <cell r="H1058">
            <v>378088</v>
          </cell>
        </row>
        <row r="1059">
          <cell r="A1059">
            <v>3036</v>
          </cell>
          <cell r="B1059" t="str">
            <v>Moyen</v>
          </cell>
          <cell r="D1059" t="str">
            <v>*</v>
          </cell>
          <cell r="F1059">
            <v>1</v>
          </cell>
          <cell r="G1059">
            <v>0</v>
          </cell>
          <cell r="H1059">
            <v>50920</v>
          </cell>
        </row>
        <row r="1060">
          <cell r="A1060">
            <v>3037</v>
          </cell>
          <cell r="B1060" t="str">
            <v>Moyen</v>
          </cell>
          <cell r="D1060" t="str">
            <v>*</v>
          </cell>
          <cell r="F1060">
            <v>1</v>
          </cell>
          <cell r="G1060">
            <v>0</v>
          </cell>
          <cell r="H1060">
            <v>1</v>
          </cell>
        </row>
        <row r="1061">
          <cell r="A1061">
            <v>3038</v>
          </cell>
          <cell r="B1061" t="str">
            <v>Moyen</v>
          </cell>
          <cell r="D1061" t="str">
            <v>*</v>
          </cell>
          <cell r="F1061">
            <v>1</v>
          </cell>
          <cell r="G1061">
            <v>0</v>
          </cell>
          <cell r="H1061">
            <v>40736</v>
          </cell>
        </row>
        <row r="1062">
          <cell r="A1062">
            <v>3039</v>
          </cell>
          <cell r="B1062" t="str">
            <v>Moyen</v>
          </cell>
          <cell r="D1062" t="str">
            <v>*</v>
          </cell>
          <cell r="F1062">
            <v>1</v>
          </cell>
          <cell r="G1062">
            <v>0</v>
          </cell>
          <cell r="H1062">
            <v>0</v>
          </cell>
        </row>
        <row r="1063">
          <cell r="A1063">
            <v>3040</v>
          </cell>
          <cell r="B1063" t="str">
            <v>Moyen</v>
          </cell>
          <cell r="D1063" t="str">
            <v>*</v>
          </cell>
          <cell r="F1063">
            <v>1</v>
          </cell>
          <cell r="G1063">
            <v>0</v>
          </cell>
          <cell r="H1063">
            <v>0</v>
          </cell>
        </row>
        <row r="1064">
          <cell r="A1064">
            <v>3041</v>
          </cell>
          <cell r="B1064" t="str">
            <v>Moyen</v>
          </cell>
          <cell r="D1064" t="str">
            <v>*</v>
          </cell>
          <cell r="F1064">
            <v>1</v>
          </cell>
          <cell r="G1064">
            <v>0</v>
          </cell>
          <cell r="H1064">
            <v>2849</v>
          </cell>
        </row>
        <row r="1065">
          <cell r="A1065">
            <v>3042</v>
          </cell>
          <cell r="B1065" t="str">
            <v>Moyen</v>
          </cell>
          <cell r="D1065" t="str">
            <v>*</v>
          </cell>
          <cell r="F1065">
            <v>1</v>
          </cell>
          <cell r="G1065">
            <v>0</v>
          </cell>
          <cell r="H1065">
            <v>0</v>
          </cell>
        </row>
        <row r="1066">
          <cell r="A1066">
            <v>3043</v>
          </cell>
          <cell r="B1066" t="str">
            <v>Moyen</v>
          </cell>
          <cell r="D1066" t="str">
            <v>*</v>
          </cell>
          <cell r="F1066">
            <v>1</v>
          </cell>
          <cell r="G1066">
            <v>0</v>
          </cell>
          <cell r="H1066">
            <v>17814</v>
          </cell>
        </row>
        <row r="1067">
          <cell r="A1067">
            <v>3044</v>
          </cell>
          <cell r="B1067" t="str">
            <v>Moyen</v>
          </cell>
          <cell r="D1067" t="str">
            <v>*</v>
          </cell>
          <cell r="F1067">
            <v>1</v>
          </cell>
          <cell r="G1067">
            <v>0</v>
          </cell>
          <cell r="H1067">
            <v>51951.794399999999</v>
          </cell>
        </row>
        <row r="1068">
          <cell r="A1068">
            <v>3045</v>
          </cell>
          <cell r="B1068" t="str">
            <v>Moyen</v>
          </cell>
          <cell r="D1068" t="str">
            <v>*</v>
          </cell>
          <cell r="F1068">
            <v>1</v>
          </cell>
          <cell r="G1068">
            <v>0</v>
          </cell>
          <cell r="H1068">
            <v>16765</v>
          </cell>
        </row>
        <row r="1069">
          <cell r="A1069">
            <v>3046</v>
          </cell>
          <cell r="B1069" t="str">
            <v>Moyen</v>
          </cell>
          <cell r="D1069" t="str">
            <v>*</v>
          </cell>
          <cell r="F1069">
            <v>1</v>
          </cell>
          <cell r="G1069">
            <v>0</v>
          </cell>
          <cell r="H1069">
            <v>0</v>
          </cell>
        </row>
        <row r="1070">
          <cell r="A1070">
            <v>3047</v>
          </cell>
          <cell r="B1070" t="str">
            <v>Moyen</v>
          </cell>
          <cell r="D1070" t="str">
            <v>*</v>
          </cell>
          <cell r="F1070">
            <v>1</v>
          </cell>
          <cell r="G1070">
            <v>0</v>
          </cell>
          <cell r="H1070">
            <v>4000</v>
          </cell>
        </row>
        <row r="1071">
          <cell r="A1071">
            <v>3048</v>
          </cell>
          <cell r="B1071" t="str">
            <v>Moyen</v>
          </cell>
          <cell r="D1071" t="str">
            <v>*</v>
          </cell>
          <cell r="F1071">
            <v>1</v>
          </cell>
          <cell r="G1071">
            <v>0</v>
          </cell>
          <cell r="H1071">
            <v>0</v>
          </cell>
        </row>
        <row r="1072">
          <cell r="A1072">
            <v>3049</v>
          </cell>
          <cell r="B1072" t="str">
            <v>Moyen</v>
          </cell>
          <cell r="D1072" t="str">
            <v>*</v>
          </cell>
          <cell r="F1072">
            <v>1</v>
          </cell>
          <cell r="G1072">
            <v>0</v>
          </cell>
          <cell r="H1072">
            <v>67948</v>
          </cell>
        </row>
        <row r="1073">
          <cell r="A1073">
            <v>3050</v>
          </cell>
          <cell r="B1073" t="str">
            <v>Moyen</v>
          </cell>
          <cell r="D1073" t="str">
            <v>*</v>
          </cell>
          <cell r="F1073">
            <v>1</v>
          </cell>
          <cell r="G1073">
            <v>0</v>
          </cell>
          <cell r="H1073">
            <v>24168</v>
          </cell>
        </row>
        <row r="1074">
          <cell r="A1074">
            <v>3051</v>
          </cell>
          <cell r="B1074" t="str">
            <v>Moyen</v>
          </cell>
          <cell r="D1074" t="str">
            <v>*</v>
          </cell>
          <cell r="F1074">
            <v>1</v>
          </cell>
          <cell r="G1074">
            <v>0</v>
          </cell>
          <cell r="H1074">
            <v>0</v>
          </cell>
        </row>
        <row r="1075">
          <cell r="A1075">
            <v>3052</v>
          </cell>
          <cell r="B1075" t="str">
            <v>Moyen</v>
          </cell>
          <cell r="D1075" t="str">
            <v>*</v>
          </cell>
          <cell r="F1075">
            <v>1</v>
          </cell>
          <cell r="G1075">
            <v>0</v>
          </cell>
          <cell r="H1075">
            <v>1</v>
          </cell>
        </row>
        <row r="1076">
          <cell r="A1076">
            <v>3053</v>
          </cell>
          <cell r="B1076" t="str">
            <v>Moyen</v>
          </cell>
          <cell r="D1076" t="str">
            <v>*</v>
          </cell>
          <cell r="F1076">
            <v>1</v>
          </cell>
          <cell r="G1076">
            <v>0</v>
          </cell>
          <cell r="H1076">
            <v>0</v>
          </cell>
        </row>
        <row r="1077">
          <cell r="A1077">
            <v>3054</v>
          </cell>
          <cell r="B1077" t="str">
            <v>Moyen</v>
          </cell>
          <cell r="D1077" t="str">
            <v>*</v>
          </cell>
          <cell r="F1077">
            <v>1</v>
          </cell>
          <cell r="G1077">
            <v>0</v>
          </cell>
          <cell r="H1077">
            <v>85403</v>
          </cell>
        </row>
        <row r="1078">
          <cell r="A1078">
            <v>3055</v>
          </cell>
          <cell r="B1078" t="str">
            <v>Moyen</v>
          </cell>
          <cell r="D1078" t="str">
            <v>*</v>
          </cell>
          <cell r="F1078">
            <v>1</v>
          </cell>
          <cell r="G1078">
            <v>0</v>
          </cell>
          <cell r="H1078">
            <v>0</v>
          </cell>
        </row>
        <row r="1079">
          <cell r="A1079">
            <v>3056</v>
          </cell>
          <cell r="B1079" t="str">
            <v>Moyen</v>
          </cell>
          <cell r="D1079" t="str">
            <v>*</v>
          </cell>
          <cell r="F1079">
            <v>1</v>
          </cell>
          <cell r="G1079">
            <v>0</v>
          </cell>
          <cell r="H1079">
            <v>1</v>
          </cell>
        </row>
        <row r="1080">
          <cell r="A1080">
            <v>3057</v>
          </cell>
          <cell r="B1080" t="str">
            <v>Moyen</v>
          </cell>
          <cell r="D1080" t="str">
            <v>*</v>
          </cell>
          <cell r="F1080">
            <v>1</v>
          </cell>
          <cell r="G1080">
            <v>0</v>
          </cell>
          <cell r="H1080">
            <v>34368</v>
          </cell>
        </row>
        <row r="1081">
          <cell r="A1081">
            <v>3058</v>
          </cell>
          <cell r="B1081" t="str">
            <v>Moyen</v>
          </cell>
          <cell r="D1081" t="str">
            <v>*</v>
          </cell>
          <cell r="F1081">
            <v>1</v>
          </cell>
          <cell r="G1081">
            <v>0</v>
          </cell>
          <cell r="H1081">
            <v>128923</v>
          </cell>
        </row>
        <row r="1082">
          <cell r="A1082">
            <v>3059</v>
          </cell>
          <cell r="B1082" t="str">
            <v>Moyen</v>
          </cell>
          <cell r="D1082" t="str">
            <v>*</v>
          </cell>
          <cell r="F1082">
            <v>1</v>
          </cell>
          <cell r="G1082">
            <v>0</v>
          </cell>
          <cell r="H1082">
            <v>0</v>
          </cell>
        </row>
        <row r="1083">
          <cell r="A1083">
            <v>3060</v>
          </cell>
          <cell r="B1083" t="str">
            <v>Moyen</v>
          </cell>
          <cell r="D1083" t="str">
            <v>*</v>
          </cell>
          <cell r="F1083">
            <v>1</v>
          </cell>
          <cell r="G1083">
            <v>0</v>
          </cell>
          <cell r="H1083">
            <v>10438</v>
          </cell>
        </row>
        <row r="1084">
          <cell r="A1084">
            <v>3061</v>
          </cell>
          <cell r="B1084" t="str">
            <v>Moyen</v>
          </cell>
          <cell r="D1084" t="str">
            <v>*</v>
          </cell>
          <cell r="F1084">
            <v>1</v>
          </cell>
          <cell r="G1084">
            <v>0</v>
          </cell>
          <cell r="H1084">
            <v>16058</v>
          </cell>
        </row>
        <row r="1085">
          <cell r="A1085">
            <v>3062</v>
          </cell>
          <cell r="B1085" t="str">
            <v>Moyen</v>
          </cell>
          <cell r="D1085" t="str">
            <v>*</v>
          </cell>
          <cell r="F1085">
            <v>1</v>
          </cell>
          <cell r="G1085">
            <v>0</v>
          </cell>
          <cell r="H1085">
            <v>73119.675763239793</v>
          </cell>
        </row>
        <row r="1086">
          <cell r="A1086">
            <v>3063</v>
          </cell>
          <cell r="B1086" t="str">
            <v>Moyen</v>
          </cell>
          <cell r="D1086" t="str">
            <v>*</v>
          </cell>
          <cell r="F1086">
            <v>1</v>
          </cell>
          <cell r="G1086">
            <v>0</v>
          </cell>
          <cell r="H1086">
            <v>9511</v>
          </cell>
        </row>
        <row r="1087">
          <cell r="A1087">
            <v>3064</v>
          </cell>
          <cell r="B1087" t="str">
            <v>Moyen</v>
          </cell>
          <cell r="D1087" t="str">
            <v>*</v>
          </cell>
          <cell r="F1087">
            <v>1</v>
          </cell>
          <cell r="G1087">
            <v>0</v>
          </cell>
          <cell r="H1087">
            <v>0</v>
          </cell>
        </row>
        <row r="1088">
          <cell r="A1088">
            <v>3065</v>
          </cell>
          <cell r="B1088" t="str">
            <v>Moyen</v>
          </cell>
          <cell r="D1088" t="str">
            <v>*</v>
          </cell>
          <cell r="F1088">
            <v>1</v>
          </cell>
          <cell r="G1088">
            <v>0</v>
          </cell>
          <cell r="H1088">
            <v>0</v>
          </cell>
        </row>
        <row r="1089">
          <cell r="A1089">
            <v>3066</v>
          </cell>
          <cell r="B1089" t="str">
            <v>Moyen</v>
          </cell>
          <cell r="D1089" t="str">
            <v>*</v>
          </cell>
          <cell r="F1089">
            <v>1</v>
          </cell>
          <cell r="G1089">
            <v>0</v>
          </cell>
          <cell r="H1089">
            <v>0</v>
          </cell>
        </row>
        <row r="1090">
          <cell r="A1090">
            <v>3067</v>
          </cell>
          <cell r="B1090" t="str">
            <v>Moyen</v>
          </cell>
          <cell r="D1090" t="str">
            <v>*</v>
          </cell>
          <cell r="F1090">
            <v>1</v>
          </cell>
          <cell r="G1090">
            <v>0</v>
          </cell>
          <cell r="H1090">
            <v>0</v>
          </cell>
        </row>
        <row r="1091">
          <cell r="A1091">
            <v>3068</v>
          </cell>
          <cell r="B1091" t="str">
            <v>Moyen</v>
          </cell>
          <cell r="D1091" t="str">
            <v>*</v>
          </cell>
          <cell r="F1091">
            <v>1</v>
          </cell>
          <cell r="G1091">
            <v>0</v>
          </cell>
          <cell r="H1091">
            <v>637325</v>
          </cell>
        </row>
        <row r="1092">
          <cell r="A1092">
            <v>3069</v>
          </cell>
          <cell r="B1092" t="str">
            <v>Moyen</v>
          </cell>
          <cell r="D1092" t="str">
            <v>*</v>
          </cell>
          <cell r="F1092">
            <v>1</v>
          </cell>
          <cell r="G1092">
            <v>0</v>
          </cell>
          <cell r="H1092">
            <v>57000</v>
          </cell>
        </row>
        <row r="1093">
          <cell r="A1093">
            <v>3070</v>
          </cell>
          <cell r="B1093" t="str">
            <v>Moyen</v>
          </cell>
          <cell r="D1093" t="str">
            <v>*</v>
          </cell>
          <cell r="F1093">
            <v>1</v>
          </cell>
          <cell r="G1093">
            <v>0</v>
          </cell>
          <cell r="H1093">
            <v>4994.6135079051301</v>
          </cell>
        </row>
        <row r="1094">
          <cell r="A1094">
            <v>3071</v>
          </cell>
          <cell r="B1094" t="str">
            <v>Moyen</v>
          </cell>
          <cell r="D1094" t="str">
            <v>*</v>
          </cell>
          <cell r="F1094">
            <v>1</v>
          </cell>
          <cell r="G1094">
            <v>0</v>
          </cell>
          <cell r="H1094">
            <v>52870</v>
          </cell>
        </row>
        <row r="1095">
          <cell r="A1095">
            <v>3072</v>
          </cell>
          <cell r="B1095" t="str">
            <v>Moyen</v>
          </cell>
          <cell r="D1095" t="str">
            <v>*</v>
          </cell>
          <cell r="F1095">
            <v>1</v>
          </cell>
          <cell r="G1095">
            <v>0</v>
          </cell>
          <cell r="H1095">
            <v>144652</v>
          </cell>
        </row>
        <row r="1096">
          <cell r="A1096">
            <v>3073</v>
          </cell>
          <cell r="B1096" t="str">
            <v>Moyen</v>
          </cell>
          <cell r="D1096" t="str">
            <v>*</v>
          </cell>
          <cell r="F1096">
            <v>1</v>
          </cell>
          <cell r="G1096">
            <v>0</v>
          </cell>
          <cell r="H1096">
            <v>0</v>
          </cell>
        </row>
        <row r="1097">
          <cell r="A1097">
            <v>3074</v>
          </cell>
          <cell r="B1097" t="str">
            <v>Moyen</v>
          </cell>
          <cell r="D1097" t="str">
            <v>*</v>
          </cell>
          <cell r="F1097">
            <v>1</v>
          </cell>
          <cell r="G1097">
            <v>0</v>
          </cell>
          <cell r="H1097">
            <v>252412</v>
          </cell>
        </row>
        <row r="1098">
          <cell r="A1098">
            <v>3075</v>
          </cell>
          <cell r="B1098" t="str">
            <v>Moyen</v>
          </cell>
          <cell r="D1098" t="str">
            <v>*</v>
          </cell>
          <cell r="F1098">
            <v>1</v>
          </cell>
          <cell r="G1098">
            <v>0</v>
          </cell>
          <cell r="H1098">
            <v>0</v>
          </cell>
        </row>
        <row r="1099">
          <cell r="A1099">
            <v>3076</v>
          </cell>
          <cell r="B1099" t="str">
            <v>Moyen</v>
          </cell>
          <cell r="D1099" t="str">
            <v>*</v>
          </cell>
          <cell r="F1099">
            <v>1</v>
          </cell>
          <cell r="G1099">
            <v>0</v>
          </cell>
          <cell r="H1099">
            <v>14431</v>
          </cell>
        </row>
        <row r="1100">
          <cell r="A1100">
            <v>3077</v>
          </cell>
          <cell r="B1100" t="str">
            <v>Moyen</v>
          </cell>
          <cell r="D1100" t="str">
            <v>*</v>
          </cell>
          <cell r="F1100">
            <v>1</v>
          </cell>
          <cell r="G1100">
            <v>0</v>
          </cell>
          <cell r="H1100">
            <v>12204</v>
          </cell>
        </row>
        <row r="1101">
          <cell r="A1101">
            <v>3078</v>
          </cell>
          <cell r="B1101" t="str">
            <v>Moyen</v>
          </cell>
          <cell r="D1101" t="str">
            <v>*</v>
          </cell>
          <cell r="F1101">
            <v>1</v>
          </cell>
          <cell r="G1101">
            <v>0</v>
          </cell>
          <cell r="H1101">
            <v>0</v>
          </cell>
        </row>
        <row r="1102">
          <cell r="A1102">
            <v>3079</v>
          </cell>
          <cell r="B1102" t="str">
            <v>Moyen</v>
          </cell>
          <cell r="D1102" t="str">
            <v>*</v>
          </cell>
          <cell r="F1102">
            <v>1</v>
          </cell>
          <cell r="G1102">
            <v>0</v>
          </cell>
          <cell r="H1102">
            <v>73205</v>
          </cell>
        </row>
        <row r="1103">
          <cell r="A1103">
            <v>3080</v>
          </cell>
          <cell r="B1103" t="str">
            <v>Moyen</v>
          </cell>
          <cell r="D1103" t="str">
            <v>*</v>
          </cell>
          <cell r="F1103">
            <v>1</v>
          </cell>
          <cell r="G1103">
            <v>0</v>
          </cell>
          <cell r="H1103">
            <v>4095</v>
          </cell>
        </row>
        <row r="1104">
          <cell r="A1104">
            <v>3081</v>
          </cell>
          <cell r="B1104" t="str">
            <v>Moyen</v>
          </cell>
          <cell r="D1104" t="str">
            <v>*</v>
          </cell>
          <cell r="F1104">
            <v>1</v>
          </cell>
          <cell r="G1104">
            <v>0</v>
          </cell>
          <cell r="H1104">
            <v>0</v>
          </cell>
        </row>
        <row r="1105">
          <cell r="A1105">
            <v>3082</v>
          </cell>
          <cell r="B1105" t="str">
            <v>Moyen</v>
          </cell>
          <cell r="D1105" t="str">
            <v>*</v>
          </cell>
          <cell r="F1105">
            <v>1</v>
          </cell>
          <cell r="G1105">
            <v>0</v>
          </cell>
          <cell r="H1105">
            <v>0</v>
          </cell>
        </row>
        <row r="1106">
          <cell r="A1106">
            <v>3094</v>
          </cell>
          <cell r="B1106" t="str">
            <v>Moyen</v>
          </cell>
          <cell r="D1106" t="str">
            <v>*</v>
          </cell>
          <cell r="F1106">
            <v>1</v>
          </cell>
          <cell r="G1106">
            <v>0</v>
          </cell>
          <cell r="H1106">
            <v>14569</v>
          </cell>
        </row>
        <row r="1107">
          <cell r="A1107">
            <v>3095</v>
          </cell>
          <cell r="B1107" t="str">
            <v>Moyen</v>
          </cell>
          <cell r="D1107" t="str">
            <v>*</v>
          </cell>
          <cell r="F1107">
            <v>1</v>
          </cell>
          <cell r="G1107">
            <v>0</v>
          </cell>
          <cell r="H1107">
            <v>18251.642538390799</v>
          </cell>
        </row>
        <row r="1108">
          <cell r="A1108">
            <v>3096</v>
          </cell>
          <cell r="B1108" t="str">
            <v>Moyen</v>
          </cell>
          <cell r="D1108" t="str">
            <v>*</v>
          </cell>
          <cell r="F1108">
            <v>1</v>
          </cell>
          <cell r="G1108">
            <v>0</v>
          </cell>
          <cell r="H1108">
            <v>0</v>
          </cell>
        </row>
        <row r="1109">
          <cell r="A1109">
            <v>3097</v>
          </cell>
          <cell r="B1109" t="str">
            <v>Moyen</v>
          </cell>
          <cell r="D1109" t="str">
            <v>*</v>
          </cell>
          <cell r="F1109">
            <v>1</v>
          </cell>
          <cell r="G1109">
            <v>0</v>
          </cell>
          <cell r="H1109">
            <v>0</v>
          </cell>
        </row>
        <row r="1110">
          <cell r="A1110">
            <v>3098</v>
          </cell>
          <cell r="B1110" t="str">
            <v>Moyen</v>
          </cell>
          <cell r="D1110" t="str">
            <v>*</v>
          </cell>
          <cell r="F1110">
            <v>1</v>
          </cell>
          <cell r="G1110">
            <v>0</v>
          </cell>
          <cell r="H1110">
            <v>0</v>
          </cell>
        </row>
        <row r="1111">
          <cell r="A1111">
            <v>3099</v>
          </cell>
          <cell r="B1111" t="str">
            <v>Moyen</v>
          </cell>
          <cell r="D1111" t="str">
            <v>*</v>
          </cell>
          <cell r="F1111">
            <v>1</v>
          </cell>
          <cell r="G1111">
            <v>0</v>
          </cell>
          <cell r="H1111">
            <v>221377.35320000001</v>
          </cell>
        </row>
        <row r="1112">
          <cell r="A1112">
            <v>3100</v>
          </cell>
          <cell r="B1112" t="str">
            <v>Moyen</v>
          </cell>
          <cell r="D1112" t="str">
            <v>*</v>
          </cell>
          <cell r="F1112">
            <v>1</v>
          </cell>
          <cell r="G1112">
            <v>0</v>
          </cell>
          <cell r="H1112">
            <v>118256</v>
          </cell>
        </row>
        <row r="1113">
          <cell r="A1113">
            <v>3101</v>
          </cell>
          <cell r="B1113" t="str">
            <v>Moyen</v>
          </cell>
          <cell r="D1113" t="str">
            <v>*</v>
          </cell>
          <cell r="F1113">
            <v>1</v>
          </cell>
          <cell r="G1113">
            <v>0</v>
          </cell>
          <cell r="H1113">
            <v>779277</v>
          </cell>
        </row>
        <row r="1114">
          <cell r="A1114">
            <v>3102</v>
          </cell>
          <cell r="B1114" t="str">
            <v>Moyen</v>
          </cell>
          <cell r="D1114" t="str">
            <v>*</v>
          </cell>
          <cell r="F1114">
            <v>1</v>
          </cell>
          <cell r="G1114">
            <v>0</v>
          </cell>
          <cell r="H1114">
            <v>289277</v>
          </cell>
        </row>
        <row r="1115">
          <cell r="A1115">
            <v>3103</v>
          </cell>
          <cell r="B1115" t="str">
            <v>Moyen</v>
          </cell>
          <cell r="D1115" t="str">
            <v>*</v>
          </cell>
          <cell r="F1115">
            <v>1</v>
          </cell>
          <cell r="G1115">
            <v>0</v>
          </cell>
          <cell r="H1115">
            <v>24760</v>
          </cell>
        </row>
        <row r="1116">
          <cell r="A1116">
            <v>3104</v>
          </cell>
          <cell r="B1116" t="str">
            <v>Moyen</v>
          </cell>
          <cell r="D1116" t="str">
            <v>*</v>
          </cell>
          <cell r="F1116">
            <v>1</v>
          </cell>
          <cell r="G1116">
            <v>0</v>
          </cell>
          <cell r="H1116">
            <v>37000</v>
          </cell>
        </row>
        <row r="1117">
          <cell r="A1117">
            <v>3105</v>
          </cell>
          <cell r="B1117" t="str">
            <v>Moyen</v>
          </cell>
          <cell r="D1117" t="str">
            <v>*</v>
          </cell>
          <cell r="F1117">
            <v>1</v>
          </cell>
          <cell r="G1117">
            <v>0</v>
          </cell>
          <cell r="H1117">
            <v>0</v>
          </cell>
        </row>
        <row r="1118">
          <cell r="A1118">
            <v>3106</v>
          </cell>
          <cell r="B1118" t="str">
            <v>Moyen</v>
          </cell>
          <cell r="D1118" t="str">
            <v>*</v>
          </cell>
          <cell r="F1118">
            <v>1</v>
          </cell>
          <cell r="G1118">
            <v>0</v>
          </cell>
          <cell r="H1118">
            <v>0</v>
          </cell>
        </row>
        <row r="1119">
          <cell r="A1119">
            <v>3107</v>
          </cell>
          <cell r="B1119" t="str">
            <v>Moyen</v>
          </cell>
          <cell r="D1119" t="str">
            <v>*</v>
          </cell>
          <cell r="F1119">
            <v>1</v>
          </cell>
          <cell r="G1119">
            <v>0</v>
          </cell>
          <cell r="H1119">
            <v>0</v>
          </cell>
        </row>
        <row r="1120">
          <cell r="A1120">
            <v>3108</v>
          </cell>
          <cell r="B1120" t="str">
            <v>Moyen</v>
          </cell>
          <cell r="D1120" t="str">
            <v>*</v>
          </cell>
          <cell r="F1120">
            <v>1</v>
          </cell>
          <cell r="G1120">
            <v>0</v>
          </cell>
          <cell r="H1120">
            <v>6327</v>
          </cell>
        </row>
        <row r="1121">
          <cell r="A1121">
            <v>3109</v>
          </cell>
          <cell r="B1121" t="str">
            <v>Moyen</v>
          </cell>
          <cell r="D1121" t="str">
            <v>*</v>
          </cell>
          <cell r="F1121">
            <v>1</v>
          </cell>
          <cell r="G1121">
            <v>0</v>
          </cell>
          <cell r="H1121">
            <v>65979</v>
          </cell>
        </row>
        <row r="1122">
          <cell r="A1122">
            <v>3110</v>
          </cell>
          <cell r="B1122" t="str">
            <v>Moyen</v>
          </cell>
          <cell r="D1122" t="str">
            <v>*</v>
          </cell>
          <cell r="F1122">
            <v>1</v>
          </cell>
          <cell r="G1122">
            <v>0</v>
          </cell>
          <cell r="H1122">
            <v>85274</v>
          </cell>
        </row>
        <row r="1123">
          <cell r="A1123">
            <v>3111</v>
          </cell>
          <cell r="B1123" t="str">
            <v>Moyen</v>
          </cell>
          <cell r="D1123" t="str">
            <v>*</v>
          </cell>
          <cell r="F1123">
            <v>1</v>
          </cell>
          <cell r="G1123">
            <v>0</v>
          </cell>
          <cell r="H1123">
            <v>245884</v>
          </cell>
        </row>
        <row r="1124">
          <cell r="A1124">
            <v>3114</v>
          </cell>
          <cell r="B1124" t="str">
            <v>Moyen</v>
          </cell>
          <cell r="D1124" t="str">
            <v>*</v>
          </cell>
          <cell r="F1124">
            <v>1</v>
          </cell>
          <cell r="G1124">
            <v>0</v>
          </cell>
          <cell r="H1124">
            <v>96425.679000000004</v>
          </cell>
        </row>
        <row r="1125">
          <cell r="A1125">
            <v>3115</v>
          </cell>
          <cell r="B1125" t="str">
            <v>Moyen</v>
          </cell>
          <cell r="D1125" t="str">
            <v>*</v>
          </cell>
          <cell r="F1125">
            <v>1</v>
          </cell>
          <cell r="G1125">
            <v>0</v>
          </cell>
          <cell r="H1125">
            <v>190102.89817</v>
          </cell>
        </row>
        <row r="1126">
          <cell r="A1126">
            <v>3116</v>
          </cell>
          <cell r="B1126" t="str">
            <v>Moyen</v>
          </cell>
          <cell r="D1126" t="str">
            <v>*</v>
          </cell>
          <cell r="F1126">
            <v>1</v>
          </cell>
          <cell r="G1126">
            <v>0</v>
          </cell>
          <cell r="H1126">
            <v>127141.35875</v>
          </cell>
        </row>
        <row r="1127">
          <cell r="A1127">
            <v>3117</v>
          </cell>
          <cell r="B1127" t="str">
            <v>Moyen</v>
          </cell>
          <cell r="D1127" t="str">
            <v>*</v>
          </cell>
          <cell r="F1127">
            <v>1</v>
          </cell>
          <cell r="G1127">
            <v>0</v>
          </cell>
          <cell r="H1127">
            <v>143488</v>
          </cell>
        </row>
        <row r="1128">
          <cell r="A1128">
            <v>3118</v>
          </cell>
          <cell r="B1128" t="str">
            <v>Moyen</v>
          </cell>
          <cell r="D1128" t="str">
            <v>*</v>
          </cell>
          <cell r="F1128">
            <v>1</v>
          </cell>
          <cell r="G1128">
            <v>0</v>
          </cell>
          <cell r="H1128">
            <v>0</v>
          </cell>
        </row>
        <row r="1129">
          <cell r="A1129">
            <v>3119</v>
          </cell>
          <cell r="B1129" t="str">
            <v>Moyen</v>
          </cell>
          <cell r="D1129" t="str">
            <v>*</v>
          </cell>
          <cell r="F1129">
            <v>1</v>
          </cell>
          <cell r="G1129">
            <v>0</v>
          </cell>
          <cell r="H1129">
            <v>130175</v>
          </cell>
        </row>
        <row r="1130">
          <cell r="A1130">
            <v>3120</v>
          </cell>
          <cell r="B1130" t="str">
            <v>Moyen</v>
          </cell>
          <cell r="D1130" t="str">
            <v>*</v>
          </cell>
          <cell r="F1130">
            <v>1</v>
          </cell>
          <cell r="G1130">
            <v>0</v>
          </cell>
          <cell r="H1130">
            <v>4671.25824703125</v>
          </cell>
        </row>
        <row r="1131">
          <cell r="A1131">
            <v>3126</v>
          </cell>
          <cell r="B1131" t="str">
            <v>Moyen</v>
          </cell>
          <cell r="D1131" t="str">
            <v>*</v>
          </cell>
          <cell r="F1131">
            <v>1</v>
          </cell>
          <cell r="G1131">
            <v>0</v>
          </cell>
          <cell r="H1131">
            <v>192701</v>
          </cell>
        </row>
        <row r="1132">
          <cell r="A1132">
            <v>3127</v>
          </cell>
          <cell r="B1132" t="str">
            <v>Moyen</v>
          </cell>
          <cell r="D1132" t="str">
            <v>*</v>
          </cell>
          <cell r="F1132">
            <v>1</v>
          </cell>
          <cell r="G1132">
            <v>0</v>
          </cell>
          <cell r="H1132">
            <v>166848</v>
          </cell>
        </row>
        <row r="1133">
          <cell r="A1133">
            <v>3128</v>
          </cell>
          <cell r="B1133" t="str">
            <v>Moyen</v>
          </cell>
          <cell r="D1133" t="str">
            <v>*</v>
          </cell>
          <cell r="F1133">
            <v>1</v>
          </cell>
          <cell r="G1133">
            <v>0</v>
          </cell>
          <cell r="H1133">
            <v>0</v>
          </cell>
        </row>
        <row r="1134">
          <cell r="A1134">
            <v>3129</v>
          </cell>
          <cell r="B1134" t="str">
            <v>Moyen</v>
          </cell>
          <cell r="D1134" t="str">
            <v>*</v>
          </cell>
          <cell r="F1134">
            <v>1</v>
          </cell>
          <cell r="G1134">
            <v>0</v>
          </cell>
          <cell r="H1134">
            <v>5727</v>
          </cell>
        </row>
        <row r="1135">
          <cell r="A1135">
            <v>3130</v>
          </cell>
          <cell r="B1135" t="str">
            <v>Moyen</v>
          </cell>
          <cell r="D1135" t="str">
            <v>*</v>
          </cell>
          <cell r="F1135">
            <v>1</v>
          </cell>
          <cell r="G1135">
            <v>0</v>
          </cell>
          <cell r="H1135">
            <v>172189</v>
          </cell>
        </row>
        <row r="1136">
          <cell r="A1136">
            <v>3131</v>
          </cell>
          <cell r="B1136" t="str">
            <v>Moyen</v>
          </cell>
          <cell r="D1136" t="str">
            <v>*</v>
          </cell>
          <cell r="F1136">
            <v>1</v>
          </cell>
          <cell r="G1136">
            <v>0</v>
          </cell>
          <cell r="H1136">
            <v>353597</v>
          </cell>
        </row>
        <row r="1137">
          <cell r="A1137">
            <v>3132</v>
          </cell>
          <cell r="B1137" t="str">
            <v>Moyen</v>
          </cell>
          <cell r="D1137" t="str">
            <v>*</v>
          </cell>
          <cell r="F1137">
            <v>1</v>
          </cell>
          <cell r="G1137">
            <v>0</v>
          </cell>
          <cell r="H1137">
            <v>0</v>
          </cell>
        </row>
        <row r="1138">
          <cell r="A1138">
            <v>3512</v>
          </cell>
          <cell r="B1138" t="str">
            <v>Moyen</v>
          </cell>
          <cell r="D1138" t="str">
            <v>*</v>
          </cell>
          <cell r="F1138">
            <v>1</v>
          </cell>
          <cell r="G1138">
            <v>0</v>
          </cell>
          <cell r="H1138">
            <v>572.75538843804804</v>
          </cell>
        </row>
        <row r="1139">
          <cell r="A1139">
            <v>3578</v>
          </cell>
          <cell r="B1139" t="str">
            <v>Moyen</v>
          </cell>
          <cell r="D1139" t="str">
            <v>*</v>
          </cell>
          <cell r="F1139">
            <v>1</v>
          </cell>
          <cell r="G1139">
            <v>0</v>
          </cell>
          <cell r="H1139">
            <v>0</v>
          </cell>
        </row>
        <row r="1140">
          <cell r="A1140">
            <v>3598</v>
          </cell>
          <cell r="B1140" t="str">
            <v>Moyen</v>
          </cell>
          <cell r="D1140" t="str">
            <v>*</v>
          </cell>
          <cell r="F1140">
            <v>1</v>
          </cell>
          <cell r="G1140">
            <v>0</v>
          </cell>
          <cell r="H1140">
            <v>2624</v>
          </cell>
        </row>
        <row r="1141">
          <cell r="A1141">
            <v>3599</v>
          </cell>
          <cell r="B1141" t="str">
            <v>Moyen</v>
          </cell>
          <cell r="D1141" t="str">
            <v>*</v>
          </cell>
          <cell r="F1141">
            <v>1</v>
          </cell>
          <cell r="G1141">
            <v>0</v>
          </cell>
          <cell r="H1141">
            <v>2116.0315987293102</v>
          </cell>
        </row>
        <row r="1142">
          <cell r="A1142">
            <v>3600</v>
          </cell>
          <cell r="B1142" t="str">
            <v>Moyen</v>
          </cell>
          <cell r="D1142" t="str">
            <v>*</v>
          </cell>
          <cell r="F1142">
            <v>1</v>
          </cell>
          <cell r="G1142">
            <v>0</v>
          </cell>
          <cell r="H1142">
            <v>3329.9591509299999</v>
          </cell>
        </row>
        <row r="1143">
          <cell r="A1143">
            <v>3601</v>
          </cell>
          <cell r="B1143" t="str">
            <v>Moyen</v>
          </cell>
          <cell r="D1143" t="str">
            <v>*</v>
          </cell>
          <cell r="F1143">
            <v>1</v>
          </cell>
          <cell r="G1143">
            <v>0</v>
          </cell>
          <cell r="H1143">
            <v>111606.398142857</v>
          </cell>
        </row>
        <row r="1144">
          <cell r="A1144">
            <v>3602</v>
          </cell>
          <cell r="B1144" t="str">
            <v>Moyen</v>
          </cell>
          <cell r="D1144" t="str">
            <v>*</v>
          </cell>
          <cell r="F1144">
            <v>1</v>
          </cell>
          <cell r="G1144">
            <v>0</v>
          </cell>
          <cell r="H1144">
            <v>0</v>
          </cell>
        </row>
        <row r="1145">
          <cell r="A1145">
            <v>3603</v>
          </cell>
          <cell r="B1145" t="str">
            <v>Moyen</v>
          </cell>
          <cell r="D1145" t="str">
            <v>*</v>
          </cell>
          <cell r="F1145">
            <v>1</v>
          </cell>
          <cell r="G1145">
            <v>0</v>
          </cell>
          <cell r="H1145">
            <v>510038</v>
          </cell>
        </row>
        <row r="1146">
          <cell r="A1146">
            <v>3604</v>
          </cell>
          <cell r="B1146" t="str">
            <v>Moyen</v>
          </cell>
          <cell r="D1146" t="str">
            <v>*</v>
          </cell>
          <cell r="F1146">
            <v>1</v>
          </cell>
          <cell r="G1146">
            <v>0</v>
          </cell>
          <cell r="H1146">
            <v>1591250</v>
          </cell>
        </row>
        <row r="1147">
          <cell r="A1147">
            <v>3605</v>
          </cell>
          <cell r="B1147" t="str">
            <v>Moyen</v>
          </cell>
          <cell r="D1147" t="str">
            <v>*</v>
          </cell>
          <cell r="F1147">
            <v>1</v>
          </cell>
          <cell r="G1147">
            <v>0</v>
          </cell>
          <cell r="H1147">
            <v>94279</v>
          </cell>
        </row>
        <row r="1148">
          <cell r="A1148">
            <v>3606</v>
          </cell>
          <cell r="B1148" t="str">
            <v>Moyen</v>
          </cell>
          <cell r="D1148" t="str">
            <v>*</v>
          </cell>
          <cell r="F1148">
            <v>1</v>
          </cell>
          <cell r="G1148">
            <v>0</v>
          </cell>
          <cell r="H1148">
            <v>649</v>
          </cell>
        </row>
        <row r="1149">
          <cell r="A1149">
            <v>3607</v>
          </cell>
          <cell r="B1149" t="str">
            <v>Moyen</v>
          </cell>
          <cell r="D1149" t="str">
            <v>*</v>
          </cell>
          <cell r="F1149">
            <v>1</v>
          </cell>
          <cell r="G1149">
            <v>0</v>
          </cell>
          <cell r="H1149">
            <v>9256</v>
          </cell>
        </row>
        <row r="1150">
          <cell r="A1150">
            <v>3608</v>
          </cell>
          <cell r="B1150" t="str">
            <v>Moyen</v>
          </cell>
          <cell r="D1150" t="str">
            <v>*</v>
          </cell>
          <cell r="F1150">
            <v>1</v>
          </cell>
          <cell r="G1150">
            <v>0</v>
          </cell>
          <cell r="H1150">
            <v>958</v>
          </cell>
        </row>
        <row r="1151">
          <cell r="A1151">
            <v>3609</v>
          </cell>
          <cell r="B1151" t="str">
            <v>Moyen</v>
          </cell>
          <cell r="D1151" t="str">
            <v>*</v>
          </cell>
          <cell r="F1151">
            <v>1</v>
          </cell>
          <cell r="G1151">
            <v>0</v>
          </cell>
          <cell r="H1151">
            <v>472289</v>
          </cell>
        </row>
        <row r="1152">
          <cell r="A1152">
            <v>3610</v>
          </cell>
          <cell r="B1152" t="str">
            <v>Moyen</v>
          </cell>
          <cell r="D1152" t="str">
            <v>*</v>
          </cell>
          <cell r="F1152">
            <v>1</v>
          </cell>
          <cell r="G1152">
            <v>0</v>
          </cell>
          <cell r="H1152">
            <v>3107</v>
          </cell>
        </row>
        <row r="1153">
          <cell r="A1153">
            <v>3611</v>
          </cell>
          <cell r="B1153" t="str">
            <v>Moyen</v>
          </cell>
          <cell r="D1153" t="str">
            <v>*</v>
          </cell>
          <cell r="F1153">
            <v>1</v>
          </cell>
          <cell r="G1153">
            <v>0</v>
          </cell>
          <cell r="H1153">
            <v>0</v>
          </cell>
        </row>
        <row r="1154">
          <cell r="A1154">
            <v>3612</v>
          </cell>
          <cell r="B1154" t="str">
            <v>Moyen</v>
          </cell>
          <cell r="D1154" t="str">
            <v>*</v>
          </cell>
          <cell r="F1154">
            <v>1</v>
          </cell>
          <cell r="G1154">
            <v>0</v>
          </cell>
          <cell r="H1154">
            <v>18640</v>
          </cell>
        </row>
        <row r="1155">
          <cell r="A1155">
            <v>3613</v>
          </cell>
          <cell r="B1155" t="str">
            <v>Moyen</v>
          </cell>
          <cell r="D1155" t="str">
            <v>*</v>
          </cell>
          <cell r="F1155">
            <v>1</v>
          </cell>
          <cell r="G1155">
            <v>0</v>
          </cell>
          <cell r="H1155">
            <v>270750</v>
          </cell>
        </row>
        <row r="1156">
          <cell r="A1156">
            <v>3614</v>
          </cell>
          <cell r="B1156" t="str">
            <v>Moyen</v>
          </cell>
          <cell r="D1156" t="str">
            <v>*</v>
          </cell>
          <cell r="F1156">
            <v>1</v>
          </cell>
          <cell r="G1156">
            <v>0</v>
          </cell>
          <cell r="H1156">
            <v>33250</v>
          </cell>
        </row>
        <row r="1157">
          <cell r="A1157">
            <v>3615</v>
          </cell>
          <cell r="B1157" t="str">
            <v>Moyen</v>
          </cell>
          <cell r="D1157" t="str">
            <v>*</v>
          </cell>
          <cell r="F1157">
            <v>1</v>
          </cell>
          <cell r="G1157">
            <v>0</v>
          </cell>
          <cell r="H1157">
            <v>0</v>
          </cell>
        </row>
        <row r="1158">
          <cell r="A1158">
            <v>3616</v>
          </cell>
          <cell r="B1158" t="str">
            <v>Moyen</v>
          </cell>
          <cell r="D1158" t="str">
            <v>*</v>
          </cell>
          <cell r="F1158">
            <v>1</v>
          </cell>
          <cell r="G1158">
            <v>0</v>
          </cell>
          <cell r="H1158">
            <v>0</v>
          </cell>
        </row>
        <row r="1159">
          <cell r="A1159">
            <v>3617</v>
          </cell>
          <cell r="B1159" t="str">
            <v>Moyen</v>
          </cell>
          <cell r="D1159" t="str">
            <v>*</v>
          </cell>
          <cell r="F1159">
            <v>1</v>
          </cell>
          <cell r="G1159">
            <v>0</v>
          </cell>
          <cell r="H1159">
            <v>159555</v>
          </cell>
        </row>
        <row r="1160">
          <cell r="A1160">
            <v>3618</v>
          </cell>
          <cell r="B1160" t="str">
            <v>Moyen</v>
          </cell>
          <cell r="D1160" t="str">
            <v>*</v>
          </cell>
          <cell r="F1160">
            <v>1</v>
          </cell>
          <cell r="G1160">
            <v>0</v>
          </cell>
          <cell r="H1160">
            <v>11433</v>
          </cell>
        </row>
        <row r="1161">
          <cell r="A1161">
            <v>3619</v>
          </cell>
          <cell r="B1161" t="str">
            <v>Moyen</v>
          </cell>
          <cell r="D1161" t="str">
            <v>*</v>
          </cell>
          <cell r="F1161">
            <v>1</v>
          </cell>
          <cell r="G1161">
            <v>0</v>
          </cell>
          <cell r="H1161">
            <v>0</v>
          </cell>
        </row>
        <row r="1162">
          <cell r="A1162">
            <v>3620</v>
          </cell>
          <cell r="B1162" t="str">
            <v>Moyen</v>
          </cell>
          <cell r="D1162" t="str">
            <v>*</v>
          </cell>
          <cell r="F1162">
            <v>1</v>
          </cell>
          <cell r="G1162">
            <v>0</v>
          </cell>
          <cell r="H1162">
            <v>3058679</v>
          </cell>
        </row>
        <row r="1163">
          <cell r="A1163">
            <v>3627</v>
          </cell>
          <cell r="B1163" t="str">
            <v>Moyen</v>
          </cell>
          <cell r="D1163" t="str">
            <v>*</v>
          </cell>
          <cell r="F1163">
            <v>1</v>
          </cell>
          <cell r="G1163">
            <v>0</v>
          </cell>
          <cell r="H1163">
            <v>445395</v>
          </cell>
        </row>
        <row r="1164">
          <cell r="A1164">
            <v>3628</v>
          </cell>
          <cell r="B1164" t="str">
            <v>Moyen</v>
          </cell>
          <cell r="D1164" t="str">
            <v>*</v>
          </cell>
          <cell r="F1164">
            <v>1</v>
          </cell>
          <cell r="G1164">
            <v>0</v>
          </cell>
          <cell r="H1164">
            <v>83691</v>
          </cell>
        </row>
        <row r="1165">
          <cell r="A1165">
            <v>3657</v>
          </cell>
          <cell r="B1165" t="str">
            <v>Moyen</v>
          </cell>
          <cell r="D1165" t="str">
            <v>*</v>
          </cell>
          <cell r="F1165">
            <v>1</v>
          </cell>
          <cell r="G1165">
            <v>0</v>
          </cell>
          <cell r="H1165">
            <v>178.28911299999999</v>
          </cell>
        </row>
        <row r="1166">
          <cell r="A1166">
            <v>3658</v>
          </cell>
          <cell r="B1166" t="str">
            <v>Moyen</v>
          </cell>
          <cell r="D1166" t="str">
            <v>*</v>
          </cell>
          <cell r="F1166">
            <v>1</v>
          </cell>
          <cell r="G1166">
            <v>0</v>
          </cell>
          <cell r="H1166">
            <v>125</v>
          </cell>
        </row>
        <row r="1167">
          <cell r="A1167">
            <v>3659</v>
          </cell>
          <cell r="B1167" t="str">
            <v>Moyen</v>
          </cell>
          <cell r="D1167" t="str">
            <v>*</v>
          </cell>
          <cell r="F1167">
            <v>1</v>
          </cell>
          <cell r="G1167">
            <v>0</v>
          </cell>
          <cell r="H1167">
            <v>0</v>
          </cell>
        </row>
        <row r="1168">
          <cell r="A1168">
            <v>3660</v>
          </cell>
          <cell r="B1168" t="str">
            <v>Moyen</v>
          </cell>
          <cell r="D1168" t="str">
            <v>*</v>
          </cell>
          <cell r="F1168">
            <v>1</v>
          </cell>
          <cell r="G1168">
            <v>0</v>
          </cell>
          <cell r="H1168">
            <v>93475.925925925898</v>
          </cell>
        </row>
        <row r="1169">
          <cell r="A1169">
            <v>3661</v>
          </cell>
          <cell r="B1169" t="str">
            <v>Moyen</v>
          </cell>
          <cell r="D1169" t="str">
            <v>*</v>
          </cell>
          <cell r="F1169">
            <v>1</v>
          </cell>
          <cell r="G1169">
            <v>0</v>
          </cell>
          <cell r="H1169">
            <v>2268</v>
          </cell>
        </row>
        <row r="1170">
          <cell r="A1170">
            <v>3662</v>
          </cell>
          <cell r="B1170" t="str">
            <v>Moyen</v>
          </cell>
          <cell r="D1170" t="str">
            <v>*</v>
          </cell>
          <cell r="F1170">
            <v>1</v>
          </cell>
          <cell r="G1170">
            <v>0</v>
          </cell>
          <cell r="H1170">
            <v>1759972</v>
          </cell>
        </row>
        <row r="1171">
          <cell r="A1171">
            <v>3663</v>
          </cell>
          <cell r="B1171" t="str">
            <v>Moyen</v>
          </cell>
          <cell r="D1171" t="str">
            <v>*</v>
          </cell>
          <cell r="F1171">
            <v>1</v>
          </cell>
          <cell r="G1171">
            <v>0</v>
          </cell>
          <cell r="H1171">
            <v>80125.147549999994</v>
          </cell>
        </row>
        <row r="1172">
          <cell r="A1172">
            <v>3691</v>
          </cell>
          <cell r="B1172" t="str">
            <v>Moyen</v>
          </cell>
          <cell r="D1172" t="str">
            <v>*</v>
          </cell>
          <cell r="F1172">
            <v>1</v>
          </cell>
          <cell r="G1172">
            <v>0</v>
          </cell>
          <cell r="H1172">
            <v>0</v>
          </cell>
        </row>
        <row r="1173">
          <cell r="A1173">
            <v>3694</v>
          </cell>
          <cell r="B1173" t="str">
            <v>Moyen</v>
          </cell>
          <cell r="D1173" t="str">
            <v>*</v>
          </cell>
          <cell r="F1173">
            <v>1</v>
          </cell>
          <cell r="G1173">
            <v>0</v>
          </cell>
          <cell r="H1173">
            <v>18820</v>
          </cell>
        </row>
        <row r="1174">
          <cell r="A1174">
            <v>3695</v>
          </cell>
          <cell r="B1174" t="str">
            <v>Moyen</v>
          </cell>
          <cell r="D1174" t="str">
            <v>*</v>
          </cell>
          <cell r="F1174">
            <v>1</v>
          </cell>
          <cell r="G1174">
            <v>0</v>
          </cell>
          <cell r="H1174">
            <v>207282</v>
          </cell>
        </row>
        <row r="1175">
          <cell r="A1175">
            <v>3696</v>
          </cell>
          <cell r="B1175" t="str">
            <v>Moyen</v>
          </cell>
          <cell r="D1175" t="str">
            <v>*</v>
          </cell>
          <cell r="F1175">
            <v>1</v>
          </cell>
          <cell r="G1175">
            <v>0</v>
          </cell>
          <cell r="H1175">
            <v>50784.19094</v>
          </cell>
        </row>
        <row r="1176">
          <cell r="A1176">
            <v>3697</v>
          </cell>
          <cell r="B1176" t="str">
            <v>Moyen</v>
          </cell>
          <cell r="D1176" t="str">
            <v>*</v>
          </cell>
          <cell r="F1176">
            <v>1</v>
          </cell>
          <cell r="G1176">
            <v>0</v>
          </cell>
          <cell r="H1176">
            <v>0</v>
          </cell>
        </row>
        <row r="1177">
          <cell r="A1177">
            <v>3698</v>
          </cell>
          <cell r="B1177" t="str">
            <v>Moyen</v>
          </cell>
          <cell r="D1177" t="str">
            <v>*</v>
          </cell>
          <cell r="F1177">
            <v>1</v>
          </cell>
          <cell r="G1177">
            <v>0</v>
          </cell>
          <cell r="H1177">
            <v>544.53098576781599</v>
          </cell>
        </row>
        <row r="1178">
          <cell r="A1178">
            <v>3699</v>
          </cell>
          <cell r="B1178" t="str">
            <v>Moyen</v>
          </cell>
          <cell r="D1178" t="str">
            <v>*</v>
          </cell>
          <cell r="F1178">
            <v>1</v>
          </cell>
          <cell r="G1178">
            <v>0</v>
          </cell>
          <cell r="H1178">
            <v>0</v>
          </cell>
        </row>
        <row r="1179">
          <cell r="A1179">
            <v>3700</v>
          </cell>
          <cell r="B1179" t="str">
            <v>Moyen</v>
          </cell>
          <cell r="D1179" t="str">
            <v>*</v>
          </cell>
          <cell r="F1179">
            <v>1</v>
          </cell>
          <cell r="G1179">
            <v>0</v>
          </cell>
          <cell r="H1179">
            <v>29124</v>
          </cell>
        </row>
        <row r="1180">
          <cell r="A1180">
            <v>3701</v>
          </cell>
          <cell r="B1180" t="str">
            <v>Moyen</v>
          </cell>
          <cell r="D1180" t="str">
            <v>*</v>
          </cell>
          <cell r="F1180">
            <v>1</v>
          </cell>
          <cell r="G1180">
            <v>0</v>
          </cell>
          <cell r="H1180">
            <v>1583</v>
          </cell>
        </row>
        <row r="1181">
          <cell r="A1181">
            <v>3702</v>
          </cell>
          <cell r="B1181" t="str">
            <v>Moyen</v>
          </cell>
          <cell r="D1181" t="str">
            <v>*</v>
          </cell>
          <cell r="F1181">
            <v>1</v>
          </cell>
          <cell r="G1181">
            <v>0</v>
          </cell>
          <cell r="H1181">
            <v>249333</v>
          </cell>
        </row>
        <row r="1182">
          <cell r="A1182">
            <v>3703</v>
          </cell>
          <cell r="B1182" t="str">
            <v>Moyen</v>
          </cell>
          <cell r="D1182" t="str">
            <v>*</v>
          </cell>
          <cell r="F1182">
            <v>1</v>
          </cell>
          <cell r="G1182">
            <v>0</v>
          </cell>
          <cell r="H1182">
            <v>447000.24807854299</v>
          </cell>
        </row>
        <row r="1183">
          <cell r="A1183">
            <v>3704</v>
          </cell>
          <cell r="B1183" t="str">
            <v>Moyen</v>
          </cell>
          <cell r="D1183" t="str">
            <v>*</v>
          </cell>
          <cell r="F1183">
            <v>1</v>
          </cell>
          <cell r="G1183">
            <v>0</v>
          </cell>
          <cell r="H1183">
            <v>0</v>
          </cell>
        </row>
        <row r="1184">
          <cell r="A1184">
            <v>3709</v>
          </cell>
          <cell r="B1184" t="str">
            <v>Moyen</v>
          </cell>
          <cell r="D1184" t="str">
            <v>*</v>
          </cell>
          <cell r="F1184">
            <v>1</v>
          </cell>
          <cell r="G1184">
            <v>0</v>
          </cell>
          <cell r="H1184">
            <v>0</v>
          </cell>
        </row>
        <row r="1185">
          <cell r="A1185">
            <v>3710</v>
          </cell>
          <cell r="B1185" t="str">
            <v>Moyen</v>
          </cell>
          <cell r="D1185" t="str">
            <v>*</v>
          </cell>
          <cell r="F1185">
            <v>1</v>
          </cell>
          <cell r="G1185">
            <v>0</v>
          </cell>
          <cell r="H1185">
            <v>0</v>
          </cell>
        </row>
        <row r="1186">
          <cell r="A1186">
            <v>3712</v>
          </cell>
          <cell r="B1186" t="str">
            <v>Moyen</v>
          </cell>
          <cell r="D1186" t="str">
            <v>*</v>
          </cell>
          <cell r="F1186">
            <v>1</v>
          </cell>
          <cell r="G1186">
            <v>0</v>
          </cell>
          <cell r="H1186">
            <v>0</v>
          </cell>
        </row>
        <row r="1187">
          <cell r="A1187">
            <v>3713</v>
          </cell>
          <cell r="B1187" t="str">
            <v>Moyen</v>
          </cell>
          <cell r="D1187" t="str">
            <v>*</v>
          </cell>
          <cell r="F1187">
            <v>1</v>
          </cell>
          <cell r="G1187">
            <v>0</v>
          </cell>
          <cell r="H1187">
            <v>1</v>
          </cell>
        </row>
        <row r="1188">
          <cell r="A1188">
            <v>3716</v>
          </cell>
          <cell r="B1188" t="str">
            <v>Moyen</v>
          </cell>
          <cell r="D1188" t="str">
            <v>*</v>
          </cell>
          <cell r="F1188">
            <v>1</v>
          </cell>
          <cell r="G1188">
            <v>0</v>
          </cell>
          <cell r="H1188">
            <v>0</v>
          </cell>
        </row>
        <row r="1189">
          <cell r="A1189">
            <v>3717</v>
          </cell>
          <cell r="B1189" t="str">
            <v>Moyen</v>
          </cell>
          <cell r="D1189" t="str">
            <v>*</v>
          </cell>
          <cell r="F1189">
            <v>1</v>
          </cell>
          <cell r="G1189">
            <v>0</v>
          </cell>
          <cell r="H1189">
            <v>0</v>
          </cell>
        </row>
        <row r="1190">
          <cell r="A1190">
            <v>3718</v>
          </cell>
          <cell r="B1190" t="str">
            <v>Moyen</v>
          </cell>
          <cell r="D1190" t="str">
            <v>*</v>
          </cell>
          <cell r="F1190">
            <v>1</v>
          </cell>
          <cell r="G1190">
            <v>0</v>
          </cell>
          <cell r="H1190">
            <v>0</v>
          </cell>
        </row>
        <row r="1191">
          <cell r="A1191">
            <v>3722</v>
          </cell>
          <cell r="B1191" t="str">
            <v>Moyen</v>
          </cell>
          <cell r="D1191" t="str">
            <v>*</v>
          </cell>
          <cell r="F1191">
            <v>1</v>
          </cell>
          <cell r="G1191">
            <v>0</v>
          </cell>
          <cell r="H1191">
            <v>0</v>
          </cell>
        </row>
        <row r="1192">
          <cell r="A1192">
            <v>3723</v>
          </cell>
          <cell r="B1192" t="str">
            <v>Moyen</v>
          </cell>
          <cell r="D1192" t="str">
            <v>*</v>
          </cell>
          <cell r="F1192">
            <v>1</v>
          </cell>
          <cell r="G1192">
            <v>0</v>
          </cell>
          <cell r="H1192">
            <v>0</v>
          </cell>
        </row>
        <row r="1193">
          <cell r="A1193">
            <v>3729</v>
          </cell>
          <cell r="B1193" t="str">
            <v>Moyen</v>
          </cell>
          <cell r="D1193" t="str">
            <v>*</v>
          </cell>
          <cell r="F1193">
            <v>1</v>
          </cell>
          <cell r="G1193">
            <v>0</v>
          </cell>
          <cell r="H1193">
            <v>284248</v>
          </cell>
        </row>
        <row r="1194">
          <cell r="A1194">
            <v>3730</v>
          </cell>
          <cell r="B1194" t="str">
            <v>Moyen</v>
          </cell>
          <cell r="D1194" t="str">
            <v>*</v>
          </cell>
          <cell r="F1194">
            <v>1</v>
          </cell>
          <cell r="G1194">
            <v>0</v>
          </cell>
          <cell r="H1194">
            <v>118171</v>
          </cell>
        </row>
        <row r="1195">
          <cell r="A1195">
            <v>3731</v>
          </cell>
          <cell r="B1195" t="str">
            <v>Moyen</v>
          </cell>
          <cell r="D1195" t="str">
            <v>*</v>
          </cell>
          <cell r="F1195">
            <v>1</v>
          </cell>
          <cell r="G1195">
            <v>0</v>
          </cell>
          <cell r="H1195">
            <v>0</v>
          </cell>
        </row>
        <row r="1196">
          <cell r="A1196">
            <v>3732</v>
          </cell>
          <cell r="B1196" t="str">
            <v>Moyen</v>
          </cell>
          <cell r="D1196" t="str">
            <v>*</v>
          </cell>
          <cell r="F1196">
            <v>1</v>
          </cell>
          <cell r="G1196">
            <v>0</v>
          </cell>
          <cell r="H1196">
            <v>4920</v>
          </cell>
        </row>
        <row r="1197">
          <cell r="A1197">
            <v>3733</v>
          </cell>
          <cell r="B1197" t="str">
            <v>Moyen</v>
          </cell>
          <cell r="D1197" t="str">
            <v>*</v>
          </cell>
          <cell r="F1197">
            <v>1</v>
          </cell>
          <cell r="G1197">
            <v>0</v>
          </cell>
          <cell r="H1197">
            <v>24926.366000000002</v>
          </cell>
        </row>
        <row r="1198">
          <cell r="A1198">
            <v>3734</v>
          </cell>
          <cell r="B1198" t="str">
            <v>Moyen</v>
          </cell>
          <cell r="D1198" t="str">
            <v>*</v>
          </cell>
          <cell r="F1198">
            <v>1</v>
          </cell>
          <cell r="G1198">
            <v>0</v>
          </cell>
          <cell r="H1198">
            <v>4709</v>
          </cell>
        </row>
        <row r="1199">
          <cell r="A1199">
            <v>3735</v>
          </cell>
          <cell r="B1199" t="str">
            <v>Moyen</v>
          </cell>
          <cell r="D1199" t="str">
            <v>*</v>
          </cell>
          <cell r="F1199">
            <v>1</v>
          </cell>
          <cell r="G1199">
            <v>0</v>
          </cell>
          <cell r="H1199">
            <v>180196.76176634099</v>
          </cell>
        </row>
        <row r="1200">
          <cell r="A1200">
            <v>3736</v>
          </cell>
          <cell r="B1200" t="str">
            <v>Moyen</v>
          </cell>
          <cell r="D1200" t="str">
            <v>*</v>
          </cell>
          <cell r="F1200">
            <v>1</v>
          </cell>
          <cell r="G1200">
            <v>0</v>
          </cell>
          <cell r="H1200">
            <v>79010</v>
          </cell>
        </row>
        <row r="1201">
          <cell r="A1201">
            <v>3737</v>
          </cell>
          <cell r="B1201" t="str">
            <v>Moyen</v>
          </cell>
          <cell r="D1201" t="str">
            <v>*</v>
          </cell>
          <cell r="F1201">
            <v>1</v>
          </cell>
          <cell r="G1201">
            <v>0</v>
          </cell>
          <cell r="H1201">
            <v>152352.57282</v>
          </cell>
        </row>
        <row r="1202">
          <cell r="A1202">
            <v>3738</v>
          </cell>
          <cell r="B1202" t="str">
            <v>Moyen</v>
          </cell>
          <cell r="D1202" t="str">
            <v>*</v>
          </cell>
          <cell r="F1202">
            <v>1</v>
          </cell>
          <cell r="G1202">
            <v>0</v>
          </cell>
          <cell r="H1202">
            <v>0</v>
          </cell>
        </row>
        <row r="1203">
          <cell r="A1203">
            <v>3739</v>
          </cell>
          <cell r="B1203" t="str">
            <v>Moyen</v>
          </cell>
          <cell r="D1203" t="str">
            <v>*</v>
          </cell>
          <cell r="F1203">
            <v>1</v>
          </cell>
          <cell r="G1203">
            <v>0</v>
          </cell>
          <cell r="H1203">
            <v>10000</v>
          </cell>
        </row>
        <row r="1204">
          <cell r="A1204">
            <v>3740</v>
          </cell>
          <cell r="B1204" t="str">
            <v>Moyen</v>
          </cell>
          <cell r="D1204" t="str">
            <v>*</v>
          </cell>
          <cell r="F1204">
            <v>1</v>
          </cell>
          <cell r="G1204">
            <v>0</v>
          </cell>
          <cell r="H1204">
            <v>2249291.65002352</v>
          </cell>
        </row>
        <row r="1205">
          <cell r="A1205">
            <v>3741</v>
          </cell>
          <cell r="B1205" t="str">
            <v>Moyen</v>
          </cell>
          <cell r="D1205" t="str">
            <v>*</v>
          </cell>
          <cell r="F1205">
            <v>1</v>
          </cell>
          <cell r="G1205">
            <v>0</v>
          </cell>
          <cell r="H1205">
            <v>389723.49060000002</v>
          </cell>
        </row>
        <row r="1206">
          <cell r="A1206">
            <v>3742</v>
          </cell>
          <cell r="B1206" t="str">
            <v>Moyen</v>
          </cell>
          <cell r="D1206" t="str">
            <v>*</v>
          </cell>
          <cell r="F1206">
            <v>1</v>
          </cell>
          <cell r="G1206">
            <v>0</v>
          </cell>
          <cell r="H1206">
            <v>60086</v>
          </cell>
        </row>
        <row r="1207">
          <cell r="A1207">
            <v>3743</v>
          </cell>
          <cell r="B1207" t="str">
            <v>Moyen</v>
          </cell>
          <cell r="D1207" t="str">
            <v>*</v>
          </cell>
          <cell r="F1207">
            <v>1</v>
          </cell>
          <cell r="G1207">
            <v>0</v>
          </cell>
          <cell r="H1207">
            <v>0</v>
          </cell>
        </row>
        <row r="1208">
          <cell r="A1208">
            <v>3744</v>
          </cell>
          <cell r="B1208" t="str">
            <v>Moyen</v>
          </cell>
          <cell r="D1208" t="str">
            <v>*</v>
          </cell>
          <cell r="F1208">
            <v>1</v>
          </cell>
          <cell r="G1208">
            <v>0</v>
          </cell>
          <cell r="H1208">
            <v>85089.376761142805</v>
          </cell>
        </row>
        <row r="1209">
          <cell r="A1209">
            <v>3745</v>
          </cell>
          <cell r="B1209" t="str">
            <v>Moyen</v>
          </cell>
          <cell r="D1209" t="str">
            <v>*</v>
          </cell>
          <cell r="F1209">
            <v>1</v>
          </cell>
          <cell r="G1209">
            <v>0</v>
          </cell>
          <cell r="H1209">
            <v>177423.24935999999</v>
          </cell>
        </row>
        <row r="1210">
          <cell r="A1210">
            <v>3746</v>
          </cell>
          <cell r="B1210" t="str">
            <v>Moyen</v>
          </cell>
          <cell r="D1210" t="str">
            <v>*</v>
          </cell>
          <cell r="F1210">
            <v>1</v>
          </cell>
          <cell r="G1210">
            <v>0</v>
          </cell>
          <cell r="H1210">
            <v>3130643.4680164098</v>
          </cell>
        </row>
        <row r="1211">
          <cell r="A1211">
            <v>3747</v>
          </cell>
          <cell r="B1211" t="str">
            <v>Moyen</v>
          </cell>
          <cell r="D1211" t="str">
            <v>*</v>
          </cell>
          <cell r="F1211">
            <v>1</v>
          </cell>
          <cell r="G1211">
            <v>0</v>
          </cell>
          <cell r="H1211">
            <v>0</v>
          </cell>
        </row>
        <row r="1212">
          <cell r="A1212">
            <v>3748</v>
          </cell>
          <cell r="B1212" t="str">
            <v>Moyen</v>
          </cell>
          <cell r="D1212" t="str">
            <v>*</v>
          </cell>
          <cell r="F1212">
            <v>1</v>
          </cell>
          <cell r="G1212">
            <v>0</v>
          </cell>
          <cell r="H1212">
            <v>33219.652560000002</v>
          </cell>
        </row>
        <row r="1213">
          <cell r="A1213">
            <v>3749</v>
          </cell>
          <cell r="B1213" t="str">
            <v>Moyen</v>
          </cell>
          <cell r="D1213" t="str">
            <v>*</v>
          </cell>
          <cell r="F1213">
            <v>1</v>
          </cell>
          <cell r="G1213">
            <v>0</v>
          </cell>
          <cell r="H1213">
            <v>0</v>
          </cell>
        </row>
        <row r="1214">
          <cell r="A1214">
            <v>3750</v>
          </cell>
          <cell r="B1214" t="str">
            <v>Moyen</v>
          </cell>
          <cell r="D1214" t="str">
            <v>*</v>
          </cell>
          <cell r="F1214">
            <v>1</v>
          </cell>
          <cell r="G1214">
            <v>0</v>
          </cell>
          <cell r="H1214">
            <v>0</v>
          </cell>
        </row>
        <row r="1215">
          <cell r="A1215">
            <v>3751</v>
          </cell>
          <cell r="B1215" t="str">
            <v>Moyen</v>
          </cell>
          <cell r="D1215" t="str">
            <v>*</v>
          </cell>
          <cell r="F1215">
            <v>1</v>
          </cell>
          <cell r="G1215">
            <v>0</v>
          </cell>
          <cell r="H1215">
            <v>0</v>
          </cell>
        </row>
        <row r="1216">
          <cell r="A1216">
            <v>3754</v>
          </cell>
          <cell r="B1216" t="str">
            <v>Moyen</v>
          </cell>
          <cell r="D1216" t="str">
            <v>*</v>
          </cell>
          <cell r="F1216">
            <v>1</v>
          </cell>
          <cell r="G1216">
            <v>0</v>
          </cell>
          <cell r="H1216">
            <v>0</v>
          </cell>
        </row>
        <row r="1217">
          <cell r="A1217">
            <v>3755</v>
          </cell>
          <cell r="B1217" t="str">
            <v>Moyen</v>
          </cell>
          <cell r="D1217" t="str">
            <v>*</v>
          </cell>
          <cell r="F1217">
            <v>1</v>
          </cell>
          <cell r="G1217">
            <v>0</v>
          </cell>
          <cell r="H1217">
            <v>0</v>
          </cell>
        </row>
        <row r="1218">
          <cell r="A1218">
            <v>3756</v>
          </cell>
          <cell r="B1218" t="str">
            <v>Moyen</v>
          </cell>
          <cell r="D1218" t="str">
            <v>*</v>
          </cell>
          <cell r="F1218">
            <v>1</v>
          </cell>
          <cell r="G1218">
            <v>0</v>
          </cell>
          <cell r="H1218">
            <v>5561.0467878379905</v>
          </cell>
        </row>
        <row r="1219">
          <cell r="A1219">
            <v>3757</v>
          </cell>
          <cell r="B1219" t="str">
            <v>Moyen</v>
          </cell>
          <cell r="D1219" t="str">
            <v>*</v>
          </cell>
          <cell r="F1219">
            <v>1</v>
          </cell>
          <cell r="G1219">
            <v>0</v>
          </cell>
          <cell r="H1219">
            <v>883209</v>
          </cell>
        </row>
        <row r="1220">
          <cell r="A1220">
            <v>3761</v>
          </cell>
          <cell r="B1220" t="str">
            <v>Moyen</v>
          </cell>
          <cell r="D1220" t="str">
            <v>*</v>
          </cell>
          <cell r="F1220">
            <v>1</v>
          </cell>
          <cell r="G1220">
            <v>0</v>
          </cell>
          <cell r="H1220">
            <v>0</v>
          </cell>
        </row>
        <row r="1221">
          <cell r="A1221">
            <v>3762</v>
          </cell>
          <cell r="B1221" t="str">
            <v>Moyen</v>
          </cell>
          <cell r="D1221" t="str">
            <v>*</v>
          </cell>
          <cell r="F1221">
            <v>1</v>
          </cell>
          <cell r="G1221">
            <v>0</v>
          </cell>
          <cell r="H1221">
            <v>172189</v>
          </cell>
        </row>
        <row r="1222">
          <cell r="A1222">
            <v>3765</v>
          </cell>
          <cell r="B1222" t="str">
            <v>Moyen</v>
          </cell>
          <cell r="D1222" t="str">
            <v>*</v>
          </cell>
          <cell r="F1222">
            <v>1</v>
          </cell>
          <cell r="G1222">
            <v>0</v>
          </cell>
          <cell r="H1222">
            <v>379280.104054945</v>
          </cell>
        </row>
        <row r="1223">
          <cell r="A1223">
            <v>3791</v>
          </cell>
          <cell r="B1223" t="str">
            <v>Moyen</v>
          </cell>
          <cell r="D1223" t="str">
            <v>*</v>
          </cell>
          <cell r="F1223">
            <v>1</v>
          </cell>
          <cell r="G1223">
            <v>0</v>
          </cell>
          <cell r="H1223">
            <v>125045</v>
          </cell>
        </row>
        <row r="1224">
          <cell r="A1224">
            <v>3792</v>
          </cell>
          <cell r="B1224" t="str">
            <v>Moyen</v>
          </cell>
          <cell r="D1224" t="str">
            <v>*</v>
          </cell>
          <cell r="F1224">
            <v>1</v>
          </cell>
          <cell r="G1224">
            <v>0</v>
          </cell>
          <cell r="H1224">
            <v>0</v>
          </cell>
        </row>
        <row r="1225">
          <cell r="A1225">
            <v>3793</v>
          </cell>
          <cell r="B1225" t="str">
            <v>Moyen</v>
          </cell>
          <cell r="D1225" t="str">
            <v>*</v>
          </cell>
          <cell r="F1225">
            <v>1</v>
          </cell>
          <cell r="G1225">
            <v>0</v>
          </cell>
          <cell r="H1225">
            <v>13325</v>
          </cell>
        </row>
        <row r="1226">
          <cell r="A1226">
            <v>3794</v>
          </cell>
          <cell r="B1226" t="str">
            <v>Moyen</v>
          </cell>
          <cell r="D1226" t="str">
            <v>*</v>
          </cell>
          <cell r="F1226">
            <v>1</v>
          </cell>
          <cell r="G1226">
            <v>0</v>
          </cell>
          <cell r="H1226">
            <v>95839</v>
          </cell>
        </row>
        <row r="1227">
          <cell r="A1227">
            <v>3795</v>
          </cell>
          <cell r="B1227" t="str">
            <v>Moyen</v>
          </cell>
          <cell r="D1227" t="str">
            <v>*</v>
          </cell>
          <cell r="F1227">
            <v>1</v>
          </cell>
          <cell r="G1227">
            <v>0</v>
          </cell>
          <cell r="H1227">
            <v>125681</v>
          </cell>
        </row>
        <row r="1228">
          <cell r="A1228">
            <v>3796</v>
          </cell>
          <cell r="B1228" t="str">
            <v>Moyen</v>
          </cell>
          <cell r="D1228" t="str">
            <v>*</v>
          </cell>
          <cell r="F1228">
            <v>1</v>
          </cell>
          <cell r="G1228">
            <v>0</v>
          </cell>
          <cell r="H1228">
            <v>0</v>
          </cell>
        </row>
        <row r="1229">
          <cell r="A1229">
            <v>3797</v>
          </cell>
          <cell r="B1229" t="str">
            <v>Moyen</v>
          </cell>
          <cell r="D1229" t="str">
            <v>*</v>
          </cell>
          <cell r="F1229">
            <v>1</v>
          </cell>
          <cell r="G1229">
            <v>0</v>
          </cell>
          <cell r="H1229">
            <v>0</v>
          </cell>
        </row>
        <row r="1230">
          <cell r="A1230">
            <v>3800</v>
          </cell>
          <cell r="B1230" t="str">
            <v>Moyen</v>
          </cell>
          <cell r="D1230" t="str">
            <v>*</v>
          </cell>
          <cell r="F1230">
            <v>1</v>
          </cell>
          <cell r="G1230">
            <v>0</v>
          </cell>
          <cell r="H1230">
            <v>0</v>
          </cell>
        </row>
        <row r="1231">
          <cell r="A1231">
            <v>3801</v>
          </cell>
          <cell r="B1231" t="str">
            <v>Moyen</v>
          </cell>
          <cell r="D1231" t="str">
            <v>*</v>
          </cell>
          <cell r="F1231">
            <v>1</v>
          </cell>
          <cell r="G1231">
            <v>0</v>
          </cell>
          <cell r="H1231">
            <v>277674.7975625</v>
          </cell>
        </row>
        <row r="1232">
          <cell r="A1232">
            <v>3802</v>
          </cell>
          <cell r="B1232" t="str">
            <v>Moyen</v>
          </cell>
          <cell r="D1232" t="str">
            <v>*</v>
          </cell>
          <cell r="F1232">
            <v>1</v>
          </cell>
          <cell r="G1232">
            <v>0</v>
          </cell>
          <cell r="H1232">
            <v>0</v>
          </cell>
        </row>
        <row r="1233">
          <cell r="A1233">
            <v>3804</v>
          </cell>
          <cell r="B1233" t="str">
            <v>Moyen</v>
          </cell>
          <cell r="D1233" t="str">
            <v>*</v>
          </cell>
          <cell r="F1233">
            <v>1</v>
          </cell>
          <cell r="G1233">
            <v>0</v>
          </cell>
          <cell r="H1233">
            <v>460085.66600000003</v>
          </cell>
        </row>
        <row r="1234">
          <cell r="A1234">
            <v>3805</v>
          </cell>
          <cell r="B1234" t="str">
            <v>Moyen</v>
          </cell>
          <cell r="D1234" t="str">
            <v>*</v>
          </cell>
          <cell r="F1234">
            <v>1</v>
          </cell>
          <cell r="G1234">
            <v>0</v>
          </cell>
          <cell r="H1234">
            <v>313655.26912000001</v>
          </cell>
        </row>
        <row r="1235">
          <cell r="A1235">
            <v>3806</v>
          </cell>
          <cell r="B1235" t="str">
            <v>Moyen</v>
          </cell>
          <cell r="D1235" t="str">
            <v>*</v>
          </cell>
          <cell r="F1235">
            <v>1</v>
          </cell>
          <cell r="G1235">
            <v>0</v>
          </cell>
          <cell r="H1235">
            <v>106265.034</v>
          </cell>
        </row>
        <row r="1236">
          <cell r="A1236">
            <v>3807</v>
          </cell>
          <cell r="B1236" t="str">
            <v>Moyen</v>
          </cell>
          <cell r="D1236" t="str">
            <v>*</v>
          </cell>
          <cell r="F1236">
            <v>1</v>
          </cell>
          <cell r="G1236">
            <v>0</v>
          </cell>
          <cell r="H1236">
            <v>0</v>
          </cell>
        </row>
        <row r="1237">
          <cell r="A1237">
            <v>3808</v>
          </cell>
          <cell r="B1237" t="str">
            <v>Moyen</v>
          </cell>
          <cell r="D1237" t="str">
            <v>*</v>
          </cell>
          <cell r="F1237">
            <v>1</v>
          </cell>
          <cell r="G1237">
            <v>0</v>
          </cell>
          <cell r="H1237">
            <v>0</v>
          </cell>
        </row>
        <row r="1238">
          <cell r="A1238">
            <v>3809</v>
          </cell>
          <cell r="B1238" t="str">
            <v>Moyen</v>
          </cell>
          <cell r="D1238" t="str">
            <v>*</v>
          </cell>
          <cell r="F1238">
            <v>1</v>
          </cell>
          <cell r="G1238">
            <v>0</v>
          </cell>
          <cell r="H1238">
            <v>0</v>
          </cell>
        </row>
        <row r="1239">
          <cell r="A1239">
            <v>3810</v>
          </cell>
          <cell r="B1239" t="str">
            <v>Moyen</v>
          </cell>
          <cell r="D1239" t="str">
            <v>*</v>
          </cell>
          <cell r="F1239">
            <v>1</v>
          </cell>
          <cell r="G1239">
            <v>0</v>
          </cell>
          <cell r="H1239">
            <v>0</v>
          </cell>
        </row>
        <row r="1240">
          <cell r="A1240">
            <v>3811</v>
          </cell>
          <cell r="B1240" t="str">
            <v>Moyen</v>
          </cell>
          <cell r="D1240" t="str">
            <v>*</v>
          </cell>
          <cell r="F1240">
            <v>1</v>
          </cell>
          <cell r="G1240">
            <v>0</v>
          </cell>
          <cell r="H1240">
            <v>259759</v>
          </cell>
        </row>
        <row r="1241">
          <cell r="A1241">
            <v>3813</v>
          </cell>
          <cell r="B1241" t="str">
            <v>Moyen</v>
          </cell>
          <cell r="D1241" t="str">
            <v>*</v>
          </cell>
          <cell r="F1241">
            <v>1</v>
          </cell>
          <cell r="G1241">
            <v>0</v>
          </cell>
          <cell r="H1241">
            <v>0</v>
          </cell>
        </row>
        <row r="1242">
          <cell r="A1242">
            <v>3814</v>
          </cell>
          <cell r="B1242" t="str">
            <v>Moyen</v>
          </cell>
          <cell r="D1242" t="str">
            <v>*</v>
          </cell>
          <cell r="F1242">
            <v>1</v>
          </cell>
          <cell r="G1242">
            <v>0</v>
          </cell>
          <cell r="H1242">
            <v>0</v>
          </cell>
        </row>
        <row r="1243">
          <cell r="A1243">
            <v>3815</v>
          </cell>
          <cell r="B1243" t="str">
            <v>Moyen</v>
          </cell>
          <cell r="D1243" t="str">
            <v>*</v>
          </cell>
          <cell r="F1243">
            <v>1</v>
          </cell>
          <cell r="G1243">
            <v>0</v>
          </cell>
          <cell r="H1243">
            <v>0</v>
          </cell>
        </row>
        <row r="1244">
          <cell r="A1244">
            <v>3816</v>
          </cell>
          <cell r="B1244" t="str">
            <v>Moyen</v>
          </cell>
          <cell r="D1244" t="str">
            <v>*</v>
          </cell>
          <cell r="F1244">
            <v>1</v>
          </cell>
          <cell r="G1244">
            <v>0</v>
          </cell>
          <cell r="H1244">
            <v>0</v>
          </cell>
        </row>
        <row r="1245">
          <cell r="A1245">
            <v>3817</v>
          </cell>
          <cell r="B1245" t="str">
            <v>Moyen</v>
          </cell>
          <cell r="D1245" t="str">
            <v>*</v>
          </cell>
          <cell r="F1245">
            <v>1</v>
          </cell>
          <cell r="G1245">
            <v>0</v>
          </cell>
          <cell r="H1245">
            <v>0</v>
          </cell>
        </row>
        <row r="1246">
          <cell r="A1246">
            <v>3818</v>
          </cell>
          <cell r="B1246" t="str">
            <v>Moyen</v>
          </cell>
          <cell r="D1246" t="str">
            <v>*</v>
          </cell>
          <cell r="F1246">
            <v>1</v>
          </cell>
          <cell r="G1246">
            <v>0</v>
          </cell>
          <cell r="H1246">
            <v>30810</v>
          </cell>
        </row>
        <row r="1247">
          <cell r="A1247">
            <v>3833</v>
          </cell>
          <cell r="B1247" t="str">
            <v>Moyen</v>
          </cell>
          <cell r="D1247" t="str">
            <v>*</v>
          </cell>
          <cell r="F1247">
            <v>1</v>
          </cell>
          <cell r="G1247">
            <v>0</v>
          </cell>
          <cell r="H1247">
            <v>884512.13221153803</v>
          </cell>
        </row>
        <row r="1248">
          <cell r="A1248">
            <v>3866</v>
          </cell>
          <cell r="B1248" t="str">
            <v>Moyen</v>
          </cell>
          <cell r="D1248" t="str">
            <v>*</v>
          </cell>
          <cell r="F1248">
            <v>1</v>
          </cell>
          <cell r="G1248">
            <v>0</v>
          </cell>
          <cell r="H1248">
            <v>0</v>
          </cell>
        </row>
        <row r="1249">
          <cell r="A1249">
            <v>3867</v>
          </cell>
          <cell r="B1249" t="str">
            <v>Moyen</v>
          </cell>
          <cell r="D1249" t="str">
            <v>*</v>
          </cell>
          <cell r="F1249">
            <v>1</v>
          </cell>
          <cell r="G1249">
            <v>0</v>
          </cell>
          <cell r="H1249">
            <v>120434</v>
          </cell>
        </row>
        <row r="1250">
          <cell r="A1250">
            <v>3868</v>
          </cell>
          <cell r="B1250" t="str">
            <v>Moyen</v>
          </cell>
          <cell r="D1250" t="str">
            <v>*</v>
          </cell>
          <cell r="F1250">
            <v>1</v>
          </cell>
          <cell r="G1250">
            <v>0</v>
          </cell>
          <cell r="H1250">
            <v>0</v>
          </cell>
        </row>
        <row r="1251">
          <cell r="A1251">
            <v>3869</v>
          </cell>
          <cell r="B1251" t="str">
            <v>Moyen</v>
          </cell>
          <cell r="D1251" t="str">
            <v>*</v>
          </cell>
          <cell r="F1251">
            <v>1</v>
          </cell>
          <cell r="G1251">
            <v>0</v>
          </cell>
          <cell r="H1251">
            <v>149060</v>
          </cell>
        </row>
        <row r="1252">
          <cell r="A1252">
            <v>3870</v>
          </cell>
          <cell r="B1252" t="str">
            <v>Moyen</v>
          </cell>
          <cell r="D1252" t="str">
            <v>*</v>
          </cell>
          <cell r="F1252">
            <v>1</v>
          </cell>
          <cell r="G1252">
            <v>0</v>
          </cell>
          <cell r="H1252">
            <v>0</v>
          </cell>
        </row>
        <row r="1253">
          <cell r="A1253">
            <v>3874</v>
          </cell>
          <cell r="B1253" t="str">
            <v>Moyen</v>
          </cell>
          <cell r="D1253" t="str">
            <v>*</v>
          </cell>
          <cell r="F1253">
            <v>1</v>
          </cell>
          <cell r="G1253">
            <v>0</v>
          </cell>
          <cell r="H1253">
            <v>35422</v>
          </cell>
        </row>
        <row r="1254">
          <cell r="A1254">
            <v>3875</v>
          </cell>
          <cell r="B1254" t="str">
            <v>Moyen</v>
          </cell>
          <cell r="D1254" t="str">
            <v>*</v>
          </cell>
          <cell r="F1254">
            <v>1</v>
          </cell>
          <cell r="G1254">
            <v>0</v>
          </cell>
          <cell r="H1254">
            <v>1273734.42020431</v>
          </cell>
        </row>
        <row r="1255">
          <cell r="A1255">
            <v>3876</v>
          </cell>
          <cell r="B1255" t="str">
            <v>Moyen</v>
          </cell>
          <cell r="D1255" t="str">
            <v>*</v>
          </cell>
          <cell r="F1255">
            <v>1</v>
          </cell>
          <cell r="G1255">
            <v>0</v>
          </cell>
          <cell r="H1255">
            <v>3967.04616690693</v>
          </cell>
        </row>
        <row r="1256">
          <cell r="A1256">
            <v>3877</v>
          </cell>
          <cell r="B1256" t="str">
            <v>Moyen</v>
          </cell>
          <cell r="D1256" t="str">
            <v>*</v>
          </cell>
          <cell r="F1256">
            <v>1</v>
          </cell>
          <cell r="G1256">
            <v>0</v>
          </cell>
          <cell r="H1256">
            <v>36742.718351236697</v>
          </cell>
        </row>
        <row r="1257">
          <cell r="A1257">
            <v>3878</v>
          </cell>
          <cell r="B1257" t="str">
            <v>Moyen</v>
          </cell>
          <cell r="D1257" t="str">
            <v>*</v>
          </cell>
          <cell r="F1257">
            <v>1</v>
          </cell>
          <cell r="G1257">
            <v>0</v>
          </cell>
          <cell r="H1257">
            <v>0</v>
          </cell>
        </row>
        <row r="1258">
          <cell r="A1258">
            <v>3879</v>
          </cell>
          <cell r="B1258" t="str">
            <v>Moyen</v>
          </cell>
          <cell r="D1258" t="str">
            <v>*</v>
          </cell>
          <cell r="F1258">
            <v>1</v>
          </cell>
          <cell r="G1258">
            <v>0</v>
          </cell>
          <cell r="H1258">
            <v>64008</v>
          </cell>
        </row>
        <row r="1259">
          <cell r="A1259">
            <v>3880</v>
          </cell>
          <cell r="B1259" t="str">
            <v>Moyen</v>
          </cell>
          <cell r="D1259" t="str">
            <v>*</v>
          </cell>
          <cell r="F1259">
            <v>1</v>
          </cell>
          <cell r="G1259">
            <v>0</v>
          </cell>
          <cell r="H1259">
            <v>25687.218395783999</v>
          </cell>
        </row>
        <row r="1260">
          <cell r="A1260">
            <v>3881</v>
          </cell>
          <cell r="B1260" t="str">
            <v>Moyen</v>
          </cell>
          <cell r="D1260" t="str">
            <v>*</v>
          </cell>
          <cell r="F1260">
            <v>1</v>
          </cell>
          <cell r="G1260">
            <v>0</v>
          </cell>
          <cell r="H1260">
            <v>101</v>
          </cell>
        </row>
        <row r="1261">
          <cell r="A1261">
            <v>3882</v>
          </cell>
          <cell r="B1261" t="str">
            <v>Moyen</v>
          </cell>
          <cell r="D1261" t="str">
            <v>*</v>
          </cell>
          <cell r="F1261">
            <v>1</v>
          </cell>
          <cell r="G1261">
            <v>0</v>
          </cell>
          <cell r="H1261">
            <v>780588.83</v>
          </cell>
        </row>
        <row r="1262">
          <cell r="A1262">
            <v>3883</v>
          </cell>
          <cell r="B1262" t="str">
            <v>Moyen</v>
          </cell>
          <cell r="D1262" t="str">
            <v>*</v>
          </cell>
          <cell r="F1262">
            <v>1</v>
          </cell>
          <cell r="G1262">
            <v>0</v>
          </cell>
          <cell r="H1262">
            <v>0</v>
          </cell>
        </row>
        <row r="1263">
          <cell r="A1263">
            <v>3884</v>
          </cell>
          <cell r="B1263" t="str">
            <v>Moyen</v>
          </cell>
          <cell r="D1263" t="str">
            <v>*</v>
          </cell>
          <cell r="F1263">
            <v>1</v>
          </cell>
          <cell r="G1263">
            <v>0</v>
          </cell>
          <cell r="H1263">
            <v>0</v>
          </cell>
        </row>
        <row r="1264">
          <cell r="A1264">
            <v>3885</v>
          </cell>
          <cell r="B1264" t="str">
            <v>Moyen</v>
          </cell>
          <cell r="D1264" t="str">
            <v>*</v>
          </cell>
          <cell r="F1264">
            <v>1</v>
          </cell>
          <cell r="G1264">
            <v>0</v>
          </cell>
          <cell r="H1264">
            <v>91572</v>
          </cell>
        </row>
        <row r="1265">
          <cell r="A1265">
            <v>3886</v>
          </cell>
          <cell r="B1265" t="str">
            <v>Moyen</v>
          </cell>
          <cell r="D1265" t="str">
            <v>*</v>
          </cell>
          <cell r="F1265">
            <v>1</v>
          </cell>
          <cell r="G1265">
            <v>0</v>
          </cell>
          <cell r="H1265">
            <v>0</v>
          </cell>
        </row>
        <row r="1266">
          <cell r="A1266">
            <v>3888</v>
          </cell>
          <cell r="B1266" t="str">
            <v>Moyen</v>
          </cell>
          <cell r="D1266" t="str">
            <v>*</v>
          </cell>
          <cell r="F1266">
            <v>1</v>
          </cell>
          <cell r="G1266">
            <v>0</v>
          </cell>
          <cell r="H1266">
            <v>21109</v>
          </cell>
        </row>
        <row r="1267">
          <cell r="A1267">
            <v>3889</v>
          </cell>
          <cell r="B1267" t="str">
            <v>Moyen</v>
          </cell>
          <cell r="D1267" t="str">
            <v>*</v>
          </cell>
          <cell r="F1267">
            <v>1</v>
          </cell>
          <cell r="G1267">
            <v>0</v>
          </cell>
          <cell r="H1267">
            <v>30856</v>
          </cell>
        </row>
        <row r="1268">
          <cell r="A1268">
            <v>3890</v>
          </cell>
          <cell r="B1268" t="str">
            <v>Moyen</v>
          </cell>
          <cell r="D1268" t="str">
            <v>*</v>
          </cell>
          <cell r="F1268">
            <v>1</v>
          </cell>
          <cell r="G1268">
            <v>0</v>
          </cell>
          <cell r="H1268">
            <v>244673</v>
          </cell>
        </row>
        <row r="1269">
          <cell r="A1269">
            <v>3891</v>
          </cell>
          <cell r="B1269" t="str">
            <v>Moyen</v>
          </cell>
          <cell r="D1269" t="str">
            <v>*</v>
          </cell>
          <cell r="F1269">
            <v>1</v>
          </cell>
          <cell r="G1269">
            <v>0</v>
          </cell>
          <cell r="H1269">
            <v>0</v>
          </cell>
        </row>
        <row r="1270">
          <cell r="A1270">
            <v>3895</v>
          </cell>
          <cell r="B1270" t="str">
            <v>Moyen</v>
          </cell>
          <cell r="D1270" t="str">
            <v>*</v>
          </cell>
          <cell r="F1270">
            <v>1</v>
          </cell>
          <cell r="G1270">
            <v>0</v>
          </cell>
          <cell r="H1270">
            <v>10226</v>
          </cell>
        </row>
        <row r="1271">
          <cell r="A1271">
            <v>3896</v>
          </cell>
          <cell r="B1271" t="str">
            <v>Moyen</v>
          </cell>
          <cell r="D1271" t="str">
            <v>*</v>
          </cell>
          <cell r="F1271">
            <v>1</v>
          </cell>
          <cell r="G1271">
            <v>0</v>
          </cell>
          <cell r="H1271">
            <v>0</v>
          </cell>
        </row>
        <row r="1272">
          <cell r="A1272">
            <v>3898</v>
          </cell>
          <cell r="B1272" t="str">
            <v>Moyen</v>
          </cell>
          <cell r="D1272" t="str">
            <v>*</v>
          </cell>
          <cell r="F1272">
            <v>1</v>
          </cell>
          <cell r="G1272">
            <v>0</v>
          </cell>
          <cell r="H1272">
            <v>0</v>
          </cell>
        </row>
        <row r="1273">
          <cell r="A1273">
            <v>3900</v>
          </cell>
          <cell r="B1273" t="str">
            <v>Moyen</v>
          </cell>
          <cell r="D1273" t="str">
            <v>*</v>
          </cell>
          <cell r="F1273">
            <v>1</v>
          </cell>
          <cell r="G1273">
            <v>0</v>
          </cell>
          <cell r="H1273">
            <v>0</v>
          </cell>
        </row>
        <row r="1274">
          <cell r="A1274">
            <v>3901</v>
          </cell>
          <cell r="B1274" t="str">
            <v>Moyen</v>
          </cell>
          <cell r="D1274" t="str">
            <v>*</v>
          </cell>
          <cell r="F1274">
            <v>1</v>
          </cell>
          <cell r="G1274">
            <v>0</v>
          </cell>
          <cell r="H1274">
            <v>18892</v>
          </cell>
        </row>
        <row r="1275">
          <cell r="A1275">
            <v>3902</v>
          </cell>
          <cell r="B1275" t="str">
            <v>Moyen</v>
          </cell>
          <cell r="D1275" t="str">
            <v>*</v>
          </cell>
          <cell r="F1275">
            <v>1</v>
          </cell>
          <cell r="G1275">
            <v>0</v>
          </cell>
          <cell r="H1275">
            <v>160000</v>
          </cell>
        </row>
        <row r="1276">
          <cell r="A1276">
            <v>3913</v>
          </cell>
          <cell r="B1276" t="str">
            <v>Moyen</v>
          </cell>
          <cell r="D1276" t="str">
            <v>*</v>
          </cell>
          <cell r="F1276">
            <v>1</v>
          </cell>
          <cell r="G1276">
            <v>0</v>
          </cell>
          <cell r="H1276">
            <v>0</v>
          </cell>
        </row>
        <row r="1277">
          <cell r="A1277">
            <v>3914</v>
          </cell>
          <cell r="B1277" t="str">
            <v>Moyen</v>
          </cell>
          <cell r="D1277" t="str">
            <v>*</v>
          </cell>
          <cell r="F1277">
            <v>1</v>
          </cell>
          <cell r="G1277">
            <v>0</v>
          </cell>
          <cell r="H1277">
            <v>12342.3851433364</v>
          </cell>
        </row>
        <row r="1278">
          <cell r="A1278">
            <v>3932</v>
          </cell>
          <cell r="B1278" t="str">
            <v>Moyen</v>
          </cell>
          <cell r="D1278" t="str">
            <v>*</v>
          </cell>
          <cell r="F1278">
            <v>1</v>
          </cell>
          <cell r="G1278">
            <v>0</v>
          </cell>
          <cell r="H1278">
            <v>97061</v>
          </cell>
        </row>
        <row r="1279">
          <cell r="A1279">
            <v>3933</v>
          </cell>
          <cell r="B1279" t="str">
            <v>Moyen</v>
          </cell>
          <cell r="D1279" t="str">
            <v>*</v>
          </cell>
          <cell r="F1279">
            <v>1</v>
          </cell>
          <cell r="G1279">
            <v>0</v>
          </cell>
          <cell r="H1279">
            <v>0</v>
          </cell>
        </row>
        <row r="1280">
          <cell r="A1280">
            <v>3934</v>
          </cell>
          <cell r="B1280" t="str">
            <v>Moyen</v>
          </cell>
          <cell r="D1280" t="str">
            <v>*</v>
          </cell>
          <cell r="F1280">
            <v>1</v>
          </cell>
          <cell r="G1280">
            <v>0</v>
          </cell>
          <cell r="H1280">
            <v>98108.0619480639</v>
          </cell>
        </row>
        <row r="1281">
          <cell r="A1281">
            <v>3935</v>
          </cell>
          <cell r="B1281" t="str">
            <v>Moyen</v>
          </cell>
          <cell r="D1281" t="str">
            <v>*</v>
          </cell>
          <cell r="F1281">
            <v>1</v>
          </cell>
          <cell r="G1281">
            <v>0</v>
          </cell>
          <cell r="H1281">
            <v>118051</v>
          </cell>
        </row>
        <row r="1282">
          <cell r="A1282">
            <v>3936</v>
          </cell>
          <cell r="B1282" t="str">
            <v>Moyen</v>
          </cell>
          <cell r="D1282" t="str">
            <v>*</v>
          </cell>
          <cell r="F1282">
            <v>1</v>
          </cell>
          <cell r="G1282">
            <v>0</v>
          </cell>
          <cell r="H1282">
            <v>0</v>
          </cell>
        </row>
        <row r="1283">
          <cell r="A1283">
            <v>3937</v>
          </cell>
          <cell r="B1283" t="str">
            <v>Moyen</v>
          </cell>
          <cell r="D1283" t="str">
            <v>*</v>
          </cell>
          <cell r="F1283">
            <v>1</v>
          </cell>
          <cell r="G1283">
            <v>0</v>
          </cell>
          <cell r="H1283">
            <v>0</v>
          </cell>
        </row>
        <row r="1284">
          <cell r="A1284">
            <v>3938</v>
          </cell>
          <cell r="B1284" t="str">
            <v>Moyen</v>
          </cell>
          <cell r="D1284" t="str">
            <v>*</v>
          </cell>
          <cell r="F1284">
            <v>1</v>
          </cell>
          <cell r="G1284">
            <v>0</v>
          </cell>
          <cell r="H1284">
            <v>44343</v>
          </cell>
        </row>
        <row r="1285">
          <cell r="A1285">
            <v>3939</v>
          </cell>
          <cell r="B1285" t="str">
            <v>Moyen</v>
          </cell>
          <cell r="D1285" t="str">
            <v>*</v>
          </cell>
          <cell r="F1285">
            <v>1</v>
          </cell>
          <cell r="G1285">
            <v>0</v>
          </cell>
          <cell r="H1285">
            <v>18941</v>
          </cell>
        </row>
        <row r="1286">
          <cell r="A1286">
            <v>3942</v>
          </cell>
          <cell r="B1286" t="str">
            <v>Moyen</v>
          </cell>
          <cell r="D1286" t="str">
            <v>*</v>
          </cell>
          <cell r="F1286">
            <v>1</v>
          </cell>
          <cell r="G1286">
            <v>0</v>
          </cell>
          <cell r="H1286">
            <v>15000</v>
          </cell>
        </row>
        <row r="1287">
          <cell r="A1287">
            <v>3943</v>
          </cell>
          <cell r="B1287" t="str">
            <v>Moyen</v>
          </cell>
          <cell r="D1287" t="str">
            <v>*</v>
          </cell>
          <cell r="F1287">
            <v>1</v>
          </cell>
          <cell r="G1287">
            <v>0</v>
          </cell>
          <cell r="H1287">
            <v>1300</v>
          </cell>
        </row>
        <row r="1288">
          <cell r="A1288">
            <v>3945</v>
          </cell>
          <cell r="B1288" t="str">
            <v>Moyen</v>
          </cell>
          <cell r="D1288" t="str">
            <v>*</v>
          </cell>
          <cell r="F1288">
            <v>1</v>
          </cell>
          <cell r="G1288">
            <v>0</v>
          </cell>
          <cell r="H1288">
            <v>266492.15403538098</v>
          </cell>
        </row>
        <row r="1289">
          <cell r="A1289">
            <v>3954</v>
          </cell>
          <cell r="B1289" t="str">
            <v>Moyen</v>
          </cell>
          <cell r="D1289" t="str">
            <v>*</v>
          </cell>
          <cell r="F1289">
            <v>1</v>
          </cell>
          <cell r="G1289">
            <v>0</v>
          </cell>
          <cell r="H1289">
            <v>91572</v>
          </cell>
        </row>
        <row r="1290">
          <cell r="A1290">
            <v>3955</v>
          </cell>
          <cell r="B1290" t="str">
            <v>Moyen</v>
          </cell>
          <cell r="D1290" t="str">
            <v>*</v>
          </cell>
          <cell r="F1290">
            <v>1</v>
          </cell>
          <cell r="G1290">
            <v>0</v>
          </cell>
          <cell r="H1290">
            <v>1325</v>
          </cell>
        </row>
        <row r="1291">
          <cell r="A1291">
            <v>3956</v>
          </cell>
          <cell r="B1291" t="str">
            <v>Moyen</v>
          </cell>
          <cell r="D1291" t="str">
            <v>*</v>
          </cell>
          <cell r="F1291">
            <v>1</v>
          </cell>
          <cell r="G1291">
            <v>0</v>
          </cell>
          <cell r="H1291">
            <v>9839</v>
          </cell>
        </row>
        <row r="1292">
          <cell r="A1292">
            <v>3957</v>
          </cell>
          <cell r="B1292" t="str">
            <v>Moyen</v>
          </cell>
          <cell r="D1292" t="str">
            <v>*</v>
          </cell>
          <cell r="F1292">
            <v>1</v>
          </cell>
          <cell r="G1292">
            <v>0</v>
          </cell>
          <cell r="H1292">
            <v>4988</v>
          </cell>
        </row>
        <row r="1293">
          <cell r="A1293">
            <v>3958</v>
          </cell>
          <cell r="B1293" t="str">
            <v>Moyen</v>
          </cell>
          <cell r="D1293" t="str">
            <v>*</v>
          </cell>
          <cell r="F1293">
            <v>1</v>
          </cell>
          <cell r="G1293">
            <v>0</v>
          </cell>
          <cell r="H1293">
            <v>4631.0564000000004</v>
          </cell>
        </row>
        <row r="1294">
          <cell r="A1294">
            <v>4014</v>
          </cell>
          <cell r="B1294" t="str">
            <v>Moyen</v>
          </cell>
          <cell r="D1294" t="str">
            <v>*</v>
          </cell>
          <cell r="F1294">
            <v>1</v>
          </cell>
          <cell r="G1294">
            <v>0</v>
          </cell>
          <cell r="H1294">
            <v>9200</v>
          </cell>
        </row>
        <row r="1295">
          <cell r="A1295">
            <v>4028</v>
          </cell>
          <cell r="B1295" t="str">
            <v>Moyen</v>
          </cell>
          <cell r="D1295" t="str">
            <v>*</v>
          </cell>
          <cell r="F1295">
            <v>1</v>
          </cell>
          <cell r="G1295">
            <v>0</v>
          </cell>
          <cell r="H1295">
            <v>0</v>
          </cell>
        </row>
        <row r="1296">
          <cell r="A1296">
            <v>4092</v>
          </cell>
          <cell r="B1296" t="str">
            <v>Moyen</v>
          </cell>
          <cell r="D1296" t="str">
            <v>*</v>
          </cell>
          <cell r="F1296">
            <v>1</v>
          </cell>
          <cell r="G1296">
            <v>0</v>
          </cell>
          <cell r="H1296">
            <v>4657</v>
          </cell>
        </row>
        <row r="1297">
          <cell r="A1297">
            <v>4167</v>
          </cell>
          <cell r="B1297" t="str">
            <v>Moyen</v>
          </cell>
          <cell r="D1297" t="str">
            <v>*</v>
          </cell>
          <cell r="F1297">
            <v>1</v>
          </cell>
          <cell r="G1297">
            <v>0</v>
          </cell>
          <cell r="H1297">
            <v>466810.70299999998</v>
          </cell>
        </row>
        <row r="1298">
          <cell r="A1298">
            <v>4168</v>
          </cell>
          <cell r="B1298" t="str">
            <v>Moyen</v>
          </cell>
          <cell r="D1298" t="str">
            <v>*</v>
          </cell>
          <cell r="F1298">
            <v>1</v>
          </cell>
          <cell r="G1298">
            <v>0</v>
          </cell>
          <cell r="H1298">
            <v>845940</v>
          </cell>
        </row>
        <row r="1299">
          <cell r="A1299">
            <v>4169</v>
          </cell>
          <cell r="B1299" t="str">
            <v>Moyen</v>
          </cell>
          <cell r="D1299" t="str">
            <v>*</v>
          </cell>
          <cell r="F1299">
            <v>1</v>
          </cell>
          <cell r="G1299">
            <v>0</v>
          </cell>
          <cell r="H1299">
            <v>0</v>
          </cell>
        </row>
        <row r="1300">
          <cell r="A1300">
            <v>4170</v>
          </cell>
          <cell r="B1300" t="str">
            <v>Moyen</v>
          </cell>
          <cell r="D1300" t="str">
            <v>*</v>
          </cell>
          <cell r="F1300">
            <v>1</v>
          </cell>
          <cell r="G1300">
            <v>0</v>
          </cell>
          <cell r="H1300">
            <v>972433.860844207</v>
          </cell>
        </row>
        <row r="1301">
          <cell r="A1301">
            <v>4171</v>
          </cell>
          <cell r="B1301" t="str">
            <v>Moyen</v>
          </cell>
          <cell r="D1301" t="str">
            <v>*</v>
          </cell>
          <cell r="F1301">
            <v>1</v>
          </cell>
          <cell r="G1301">
            <v>0</v>
          </cell>
          <cell r="H1301">
            <v>459520</v>
          </cell>
        </row>
        <row r="1302">
          <cell r="A1302">
            <v>4172</v>
          </cell>
          <cell r="B1302" t="str">
            <v>Moyen</v>
          </cell>
          <cell r="D1302" t="str">
            <v>*</v>
          </cell>
          <cell r="F1302">
            <v>1</v>
          </cell>
          <cell r="G1302">
            <v>0</v>
          </cell>
          <cell r="H1302">
            <v>0</v>
          </cell>
        </row>
        <row r="1303">
          <cell r="A1303">
            <v>4173</v>
          </cell>
          <cell r="B1303" t="str">
            <v>Moyen</v>
          </cell>
          <cell r="D1303" t="str">
            <v>*</v>
          </cell>
          <cell r="F1303">
            <v>1</v>
          </cell>
          <cell r="G1303">
            <v>0</v>
          </cell>
          <cell r="H1303">
            <v>0</v>
          </cell>
        </row>
        <row r="1304">
          <cell r="A1304">
            <v>4174</v>
          </cell>
          <cell r="B1304" t="str">
            <v>Moyen</v>
          </cell>
          <cell r="D1304" t="str">
            <v>*</v>
          </cell>
          <cell r="F1304">
            <v>1</v>
          </cell>
          <cell r="G1304">
            <v>0</v>
          </cell>
          <cell r="H1304">
            <v>728899.41839999997</v>
          </cell>
        </row>
        <row r="1305">
          <cell r="A1305">
            <v>4175</v>
          </cell>
          <cell r="B1305" t="str">
            <v>Moyen</v>
          </cell>
          <cell r="D1305" t="str">
            <v>*</v>
          </cell>
          <cell r="F1305">
            <v>1</v>
          </cell>
          <cell r="G1305">
            <v>0</v>
          </cell>
          <cell r="H1305">
            <v>19412</v>
          </cell>
        </row>
        <row r="1306">
          <cell r="A1306">
            <v>4176</v>
          </cell>
          <cell r="B1306" t="str">
            <v>Moyen</v>
          </cell>
          <cell r="D1306" t="str">
            <v>*</v>
          </cell>
          <cell r="F1306">
            <v>1</v>
          </cell>
          <cell r="G1306">
            <v>0</v>
          </cell>
          <cell r="H1306">
            <v>899800</v>
          </cell>
        </row>
        <row r="1307">
          <cell r="A1307">
            <v>4177</v>
          </cell>
          <cell r="B1307" t="str">
            <v>Moyen</v>
          </cell>
          <cell r="D1307" t="str">
            <v>*</v>
          </cell>
          <cell r="F1307">
            <v>1</v>
          </cell>
          <cell r="G1307">
            <v>0</v>
          </cell>
          <cell r="H1307">
            <v>0</v>
          </cell>
        </row>
        <row r="1308">
          <cell r="A1308">
            <v>4178</v>
          </cell>
          <cell r="B1308" t="str">
            <v>Moyen</v>
          </cell>
          <cell r="D1308" t="str">
            <v>*</v>
          </cell>
          <cell r="F1308">
            <v>1</v>
          </cell>
          <cell r="G1308">
            <v>0</v>
          </cell>
          <cell r="H1308">
            <v>0</v>
          </cell>
        </row>
        <row r="1309">
          <cell r="A1309">
            <v>4180</v>
          </cell>
          <cell r="B1309" t="str">
            <v>Moyen</v>
          </cell>
          <cell r="D1309" t="str">
            <v>*</v>
          </cell>
          <cell r="F1309">
            <v>1</v>
          </cell>
          <cell r="G1309">
            <v>0</v>
          </cell>
          <cell r="H1309">
            <v>3600</v>
          </cell>
        </row>
        <row r="1310">
          <cell r="A1310">
            <v>4181</v>
          </cell>
          <cell r="B1310" t="str">
            <v>Moyen</v>
          </cell>
          <cell r="D1310" t="str">
            <v>*</v>
          </cell>
          <cell r="F1310">
            <v>1</v>
          </cell>
          <cell r="G1310">
            <v>0</v>
          </cell>
          <cell r="H1310">
            <v>0</v>
          </cell>
        </row>
        <row r="1311">
          <cell r="A1311">
            <v>4182</v>
          </cell>
          <cell r="B1311" t="str">
            <v>Moyen</v>
          </cell>
          <cell r="D1311" t="str">
            <v>*</v>
          </cell>
          <cell r="F1311">
            <v>1</v>
          </cell>
          <cell r="G1311">
            <v>0</v>
          </cell>
          <cell r="H1311">
            <v>0</v>
          </cell>
        </row>
        <row r="1312">
          <cell r="A1312">
            <v>4183</v>
          </cell>
          <cell r="B1312" t="str">
            <v>Moyen</v>
          </cell>
          <cell r="D1312" t="str">
            <v>*</v>
          </cell>
          <cell r="F1312">
            <v>1</v>
          </cell>
          <cell r="G1312">
            <v>0</v>
          </cell>
          <cell r="H1312">
            <v>0</v>
          </cell>
        </row>
        <row r="1313">
          <cell r="A1313">
            <v>4184</v>
          </cell>
          <cell r="B1313" t="str">
            <v>Moyen</v>
          </cell>
          <cell r="D1313" t="str">
            <v>*</v>
          </cell>
          <cell r="F1313">
            <v>1</v>
          </cell>
          <cell r="G1313">
            <v>0</v>
          </cell>
          <cell r="H1313">
            <v>0</v>
          </cell>
        </row>
        <row r="1314">
          <cell r="A1314">
            <v>4185</v>
          </cell>
          <cell r="B1314" t="str">
            <v>Moyen</v>
          </cell>
          <cell r="D1314" t="str">
            <v>*</v>
          </cell>
          <cell r="F1314">
            <v>1</v>
          </cell>
          <cell r="G1314">
            <v>0</v>
          </cell>
          <cell r="H1314">
            <v>0</v>
          </cell>
        </row>
        <row r="1315">
          <cell r="A1315">
            <v>4186</v>
          </cell>
          <cell r="B1315" t="str">
            <v>Moyen</v>
          </cell>
          <cell r="D1315" t="str">
            <v>*</v>
          </cell>
          <cell r="F1315">
            <v>1</v>
          </cell>
          <cell r="G1315">
            <v>0</v>
          </cell>
          <cell r="H1315">
            <v>0</v>
          </cell>
        </row>
        <row r="1316">
          <cell r="A1316">
            <v>4187</v>
          </cell>
          <cell r="B1316" t="str">
            <v>Moyen</v>
          </cell>
          <cell r="D1316" t="str">
            <v>*</v>
          </cell>
          <cell r="F1316">
            <v>1</v>
          </cell>
          <cell r="G1316">
            <v>0</v>
          </cell>
          <cell r="H1316">
            <v>0</v>
          </cell>
        </row>
        <row r="1317">
          <cell r="A1317">
            <v>4196</v>
          </cell>
          <cell r="B1317" t="str">
            <v>Moyen</v>
          </cell>
          <cell r="D1317" t="str">
            <v>*</v>
          </cell>
          <cell r="F1317">
            <v>1</v>
          </cell>
          <cell r="G1317">
            <v>0</v>
          </cell>
          <cell r="H1317">
            <v>82978.560500000007</v>
          </cell>
        </row>
        <row r="1318">
          <cell r="A1318">
            <v>4197</v>
          </cell>
          <cell r="B1318" t="str">
            <v>Moyen</v>
          </cell>
          <cell r="D1318" t="str">
            <v>*</v>
          </cell>
          <cell r="F1318">
            <v>1</v>
          </cell>
          <cell r="G1318">
            <v>0</v>
          </cell>
          <cell r="H1318">
            <v>0</v>
          </cell>
        </row>
        <row r="1319">
          <cell r="A1319">
            <v>4198</v>
          </cell>
          <cell r="B1319" t="str">
            <v>Moyen</v>
          </cell>
          <cell r="D1319" t="str">
            <v>*</v>
          </cell>
          <cell r="F1319">
            <v>1</v>
          </cell>
          <cell r="G1319">
            <v>0</v>
          </cell>
          <cell r="H1319">
            <v>0</v>
          </cell>
        </row>
        <row r="1320">
          <cell r="A1320">
            <v>4199</v>
          </cell>
          <cell r="B1320" t="str">
            <v>Moyen</v>
          </cell>
          <cell r="D1320" t="str">
            <v>*</v>
          </cell>
          <cell r="F1320">
            <v>1</v>
          </cell>
          <cell r="G1320">
            <v>0</v>
          </cell>
          <cell r="H1320">
            <v>0</v>
          </cell>
        </row>
        <row r="1321">
          <cell r="A1321">
            <v>4200</v>
          </cell>
          <cell r="B1321" t="str">
            <v>Moyen</v>
          </cell>
          <cell r="D1321" t="str">
            <v>*</v>
          </cell>
          <cell r="F1321">
            <v>1</v>
          </cell>
          <cell r="G1321">
            <v>0</v>
          </cell>
          <cell r="H1321">
            <v>54193</v>
          </cell>
        </row>
        <row r="1322">
          <cell r="A1322">
            <v>4201</v>
          </cell>
          <cell r="B1322" t="str">
            <v>Moyen</v>
          </cell>
          <cell r="D1322" t="str">
            <v>*</v>
          </cell>
          <cell r="F1322">
            <v>1</v>
          </cell>
          <cell r="G1322">
            <v>0</v>
          </cell>
          <cell r="H1322">
            <v>0</v>
          </cell>
        </row>
        <row r="1323">
          <cell r="A1323">
            <v>4202</v>
          </cell>
          <cell r="B1323" t="str">
            <v>Moyen</v>
          </cell>
          <cell r="D1323" t="str">
            <v>*</v>
          </cell>
          <cell r="F1323">
            <v>1</v>
          </cell>
          <cell r="G1323">
            <v>0</v>
          </cell>
          <cell r="H1323">
            <v>159985.91133998201</v>
          </cell>
        </row>
        <row r="1324">
          <cell r="A1324">
            <v>4205</v>
          </cell>
          <cell r="B1324" t="str">
            <v>Moyen</v>
          </cell>
          <cell r="D1324" t="str">
            <v>*</v>
          </cell>
          <cell r="F1324">
            <v>1</v>
          </cell>
          <cell r="G1324">
            <v>0</v>
          </cell>
          <cell r="H1324">
            <v>0</v>
          </cell>
        </row>
        <row r="1325">
          <cell r="A1325">
            <v>4206</v>
          </cell>
          <cell r="B1325" t="str">
            <v>Moyen</v>
          </cell>
          <cell r="D1325" t="str">
            <v>*</v>
          </cell>
          <cell r="F1325">
            <v>1</v>
          </cell>
          <cell r="G1325">
            <v>0</v>
          </cell>
          <cell r="H1325">
            <v>0</v>
          </cell>
        </row>
        <row r="1326">
          <cell r="A1326">
            <v>4209</v>
          </cell>
          <cell r="B1326" t="str">
            <v>Moyen</v>
          </cell>
          <cell r="D1326" t="str">
            <v>*</v>
          </cell>
          <cell r="F1326">
            <v>1</v>
          </cell>
          <cell r="G1326">
            <v>0</v>
          </cell>
          <cell r="H1326">
            <v>0</v>
          </cell>
        </row>
        <row r="1327">
          <cell r="A1327">
            <v>4210</v>
          </cell>
          <cell r="B1327" t="str">
            <v>Moyen</v>
          </cell>
          <cell r="D1327" t="str">
            <v>*</v>
          </cell>
          <cell r="F1327">
            <v>1</v>
          </cell>
          <cell r="G1327">
            <v>0</v>
          </cell>
          <cell r="H1327">
            <v>0</v>
          </cell>
        </row>
        <row r="1328">
          <cell r="A1328">
            <v>4211</v>
          </cell>
          <cell r="B1328" t="str">
            <v>Moyen</v>
          </cell>
          <cell r="D1328" t="str">
            <v>*</v>
          </cell>
          <cell r="F1328">
            <v>1</v>
          </cell>
          <cell r="G1328">
            <v>0</v>
          </cell>
          <cell r="H1328">
            <v>0</v>
          </cell>
        </row>
        <row r="1329">
          <cell r="A1329">
            <v>4212</v>
          </cell>
          <cell r="B1329" t="str">
            <v>Moyen</v>
          </cell>
          <cell r="D1329" t="str">
            <v>*</v>
          </cell>
          <cell r="F1329">
            <v>1</v>
          </cell>
          <cell r="G1329">
            <v>0</v>
          </cell>
          <cell r="H1329">
            <v>424</v>
          </cell>
        </row>
        <row r="1330">
          <cell r="A1330">
            <v>4213</v>
          </cell>
          <cell r="B1330" t="str">
            <v>Moyen</v>
          </cell>
          <cell r="D1330" t="str">
            <v>*</v>
          </cell>
          <cell r="F1330">
            <v>1</v>
          </cell>
          <cell r="G1330">
            <v>0</v>
          </cell>
          <cell r="H1330">
            <v>280</v>
          </cell>
        </row>
        <row r="1331">
          <cell r="A1331">
            <v>4215</v>
          </cell>
          <cell r="B1331" t="str">
            <v>Moyen</v>
          </cell>
          <cell r="D1331" t="str">
            <v>*</v>
          </cell>
          <cell r="F1331">
            <v>1</v>
          </cell>
          <cell r="G1331">
            <v>0</v>
          </cell>
          <cell r="H1331">
            <v>0</v>
          </cell>
        </row>
        <row r="1332">
          <cell r="A1332">
            <v>4221</v>
          </cell>
          <cell r="B1332" t="str">
            <v>Moyen</v>
          </cell>
          <cell r="D1332" t="str">
            <v>*</v>
          </cell>
          <cell r="F1332">
            <v>1</v>
          </cell>
          <cell r="G1332">
            <v>0</v>
          </cell>
          <cell r="H1332">
            <v>0</v>
          </cell>
        </row>
        <row r="1333">
          <cell r="A1333">
            <v>4222</v>
          </cell>
          <cell r="B1333" t="str">
            <v>Moyen</v>
          </cell>
          <cell r="D1333" t="str">
            <v>*</v>
          </cell>
          <cell r="F1333">
            <v>1</v>
          </cell>
          <cell r="G1333">
            <v>0</v>
          </cell>
          <cell r="H1333">
            <v>0</v>
          </cell>
        </row>
        <row r="1334">
          <cell r="A1334">
            <v>4223</v>
          </cell>
          <cell r="B1334" t="str">
            <v>Moyen</v>
          </cell>
          <cell r="D1334" t="str">
            <v>*</v>
          </cell>
          <cell r="F1334">
            <v>1</v>
          </cell>
          <cell r="G1334">
            <v>0</v>
          </cell>
          <cell r="H1334">
            <v>0</v>
          </cell>
        </row>
        <row r="1335">
          <cell r="A1335">
            <v>4234</v>
          </cell>
          <cell r="B1335" t="str">
            <v>Moyen</v>
          </cell>
          <cell r="D1335" t="str">
            <v>*</v>
          </cell>
          <cell r="F1335">
            <v>1</v>
          </cell>
          <cell r="G1335">
            <v>0</v>
          </cell>
          <cell r="H1335">
            <v>0</v>
          </cell>
        </row>
        <row r="1336">
          <cell r="A1336">
            <v>4235</v>
          </cell>
          <cell r="B1336" t="str">
            <v>Moyen</v>
          </cell>
          <cell r="D1336" t="str">
            <v>*</v>
          </cell>
          <cell r="F1336">
            <v>1</v>
          </cell>
          <cell r="G1336">
            <v>0</v>
          </cell>
          <cell r="H1336">
            <v>0</v>
          </cell>
        </row>
        <row r="1337">
          <cell r="A1337">
            <v>4236</v>
          </cell>
          <cell r="B1337" t="str">
            <v>Moyen</v>
          </cell>
          <cell r="D1337" t="str">
            <v>*</v>
          </cell>
          <cell r="F1337">
            <v>1</v>
          </cell>
          <cell r="G1337">
            <v>0</v>
          </cell>
          <cell r="H1337">
            <v>0</v>
          </cell>
        </row>
        <row r="1338">
          <cell r="A1338">
            <v>4237</v>
          </cell>
          <cell r="B1338" t="str">
            <v>Moyen</v>
          </cell>
          <cell r="D1338" t="str">
            <v>*</v>
          </cell>
          <cell r="F1338">
            <v>1</v>
          </cell>
          <cell r="G1338">
            <v>0</v>
          </cell>
          <cell r="H1338">
            <v>0</v>
          </cell>
        </row>
        <row r="1339">
          <cell r="A1339">
            <v>4238</v>
          </cell>
          <cell r="B1339" t="str">
            <v>Moyen</v>
          </cell>
          <cell r="D1339" t="str">
            <v>*</v>
          </cell>
          <cell r="F1339">
            <v>1</v>
          </cell>
          <cell r="G1339">
            <v>0</v>
          </cell>
          <cell r="H1339">
            <v>0</v>
          </cell>
        </row>
        <row r="1340">
          <cell r="A1340">
            <v>4239</v>
          </cell>
          <cell r="B1340" t="str">
            <v>Moyen</v>
          </cell>
          <cell r="D1340" t="str">
            <v>*</v>
          </cell>
          <cell r="F1340">
            <v>1</v>
          </cell>
          <cell r="G1340">
            <v>0</v>
          </cell>
          <cell r="H1340">
            <v>0</v>
          </cell>
        </row>
        <row r="1341">
          <cell r="A1341">
            <v>4247</v>
          </cell>
          <cell r="B1341" t="str">
            <v>Moyen</v>
          </cell>
          <cell r="D1341" t="str">
            <v>*</v>
          </cell>
          <cell r="F1341">
            <v>1</v>
          </cell>
          <cell r="G1341">
            <v>0</v>
          </cell>
          <cell r="H1341">
            <v>12248.25</v>
          </cell>
        </row>
        <row r="1342">
          <cell r="A1342">
            <v>4248</v>
          </cell>
          <cell r="B1342" t="str">
            <v>Moyen</v>
          </cell>
          <cell r="D1342" t="str">
            <v>*</v>
          </cell>
          <cell r="F1342">
            <v>1</v>
          </cell>
          <cell r="G1342">
            <v>0</v>
          </cell>
          <cell r="H1342">
            <v>0</v>
          </cell>
        </row>
        <row r="1343">
          <cell r="A1343">
            <v>4249</v>
          </cell>
          <cell r="B1343" t="str">
            <v>Moyen</v>
          </cell>
          <cell r="D1343" t="str">
            <v>*</v>
          </cell>
          <cell r="F1343">
            <v>1</v>
          </cell>
          <cell r="G1343">
            <v>0</v>
          </cell>
          <cell r="H1343">
            <v>0</v>
          </cell>
        </row>
        <row r="1344">
          <cell r="A1344">
            <v>4250</v>
          </cell>
          <cell r="B1344" t="str">
            <v>Moyen</v>
          </cell>
          <cell r="D1344" t="str">
            <v>*</v>
          </cell>
          <cell r="F1344">
            <v>1</v>
          </cell>
          <cell r="G1344">
            <v>0</v>
          </cell>
          <cell r="H1344">
            <v>164751</v>
          </cell>
        </row>
        <row r="1345">
          <cell r="A1345">
            <v>4253</v>
          </cell>
          <cell r="B1345" t="str">
            <v>Moyen</v>
          </cell>
          <cell r="D1345" t="str">
            <v>*</v>
          </cell>
          <cell r="F1345">
            <v>1</v>
          </cell>
          <cell r="G1345">
            <v>0</v>
          </cell>
          <cell r="H1345">
            <v>0</v>
          </cell>
        </row>
        <row r="1346">
          <cell r="A1346">
            <v>4254</v>
          </cell>
          <cell r="B1346" t="str">
            <v>Moyen</v>
          </cell>
          <cell r="D1346" t="str">
            <v>*</v>
          </cell>
          <cell r="F1346">
            <v>1</v>
          </cell>
          <cell r="G1346">
            <v>0</v>
          </cell>
          <cell r="H1346">
            <v>0</v>
          </cell>
        </row>
        <row r="1347">
          <cell r="A1347">
            <v>4255</v>
          </cell>
          <cell r="B1347" t="str">
            <v>Moyen</v>
          </cell>
          <cell r="D1347" t="str">
            <v>*</v>
          </cell>
          <cell r="F1347">
            <v>1</v>
          </cell>
          <cell r="G1347">
            <v>0</v>
          </cell>
          <cell r="H1347">
            <v>0</v>
          </cell>
        </row>
        <row r="1348">
          <cell r="A1348">
            <v>4256</v>
          </cell>
          <cell r="B1348" t="str">
            <v>Moyen</v>
          </cell>
          <cell r="D1348" t="str">
            <v>*</v>
          </cell>
          <cell r="F1348">
            <v>1</v>
          </cell>
          <cell r="G1348">
            <v>0</v>
          </cell>
          <cell r="H1348">
            <v>0</v>
          </cell>
        </row>
        <row r="1349">
          <cell r="A1349">
            <v>4257</v>
          </cell>
          <cell r="B1349" t="str">
            <v>Moyen</v>
          </cell>
          <cell r="D1349" t="str">
            <v>*</v>
          </cell>
          <cell r="F1349">
            <v>1</v>
          </cell>
          <cell r="G1349">
            <v>0</v>
          </cell>
          <cell r="H1349">
            <v>0</v>
          </cell>
        </row>
        <row r="1350">
          <cell r="A1350">
            <v>4258</v>
          </cell>
          <cell r="B1350" t="str">
            <v>Moyen</v>
          </cell>
          <cell r="D1350" t="str">
            <v>*</v>
          </cell>
          <cell r="F1350">
            <v>1</v>
          </cell>
          <cell r="G1350">
            <v>0</v>
          </cell>
          <cell r="H1350">
            <v>0</v>
          </cell>
        </row>
        <row r="1351">
          <cell r="A1351">
            <v>4259</v>
          </cell>
          <cell r="B1351" t="str">
            <v>Moyen</v>
          </cell>
          <cell r="D1351" t="str">
            <v>*</v>
          </cell>
          <cell r="F1351">
            <v>1</v>
          </cell>
          <cell r="G1351">
            <v>0</v>
          </cell>
          <cell r="H1351">
            <v>0</v>
          </cell>
        </row>
        <row r="1352">
          <cell r="A1352">
            <v>4260</v>
          </cell>
          <cell r="B1352" t="str">
            <v>Moyen</v>
          </cell>
          <cell r="D1352" t="str">
            <v>*</v>
          </cell>
          <cell r="F1352">
            <v>1</v>
          </cell>
          <cell r="G1352">
            <v>0</v>
          </cell>
          <cell r="H1352">
            <v>280000</v>
          </cell>
        </row>
        <row r="1353">
          <cell r="A1353">
            <v>4265</v>
          </cell>
          <cell r="B1353" t="str">
            <v>Moyen</v>
          </cell>
          <cell r="D1353" t="str">
            <v>*</v>
          </cell>
          <cell r="F1353">
            <v>1</v>
          </cell>
          <cell r="G1353">
            <v>0</v>
          </cell>
          <cell r="H1353">
            <v>0</v>
          </cell>
        </row>
        <row r="1354">
          <cell r="A1354">
            <v>4266</v>
          </cell>
          <cell r="B1354" t="str">
            <v>Moyen</v>
          </cell>
          <cell r="D1354" t="str">
            <v>*</v>
          </cell>
          <cell r="F1354">
            <v>1</v>
          </cell>
          <cell r="G1354">
            <v>0</v>
          </cell>
          <cell r="H1354">
            <v>0</v>
          </cell>
        </row>
        <row r="1355">
          <cell r="A1355">
            <v>4267</v>
          </cell>
          <cell r="B1355" t="str">
            <v>Moyen</v>
          </cell>
          <cell r="D1355" t="str">
            <v>*</v>
          </cell>
          <cell r="F1355">
            <v>1</v>
          </cell>
          <cell r="G1355">
            <v>0</v>
          </cell>
          <cell r="H1355">
            <v>0</v>
          </cell>
        </row>
        <row r="1356">
          <cell r="A1356">
            <v>4268</v>
          </cell>
          <cell r="B1356" t="str">
            <v>Moyen</v>
          </cell>
          <cell r="D1356" t="str">
            <v>*</v>
          </cell>
          <cell r="F1356">
            <v>1</v>
          </cell>
          <cell r="G1356">
            <v>0</v>
          </cell>
          <cell r="H1356">
            <v>0</v>
          </cell>
        </row>
        <row r="1357">
          <cell r="A1357">
            <v>4269</v>
          </cell>
          <cell r="B1357" t="str">
            <v>Moyen</v>
          </cell>
          <cell r="D1357" t="str">
            <v>*</v>
          </cell>
          <cell r="F1357">
            <v>1</v>
          </cell>
          <cell r="G1357">
            <v>0</v>
          </cell>
          <cell r="H1357">
            <v>0</v>
          </cell>
        </row>
        <row r="1358">
          <cell r="A1358">
            <v>4270</v>
          </cell>
          <cell r="B1358" t="str">
            <v>Moyen</v>
          </cell>
          <cell r="D1358" t="str">
            <v>*</v>
          </cell>
          <cell r="F1358">
            <v>1</v>
          </cell>
          <cell r="G1358">
            <v>0</v>
          </cell>
          <cell r="H1358">
            <v>0</v>
          </cell>
        </row>
        <row r="1359">
          <cell r="A1359">
            <v>4273</v>
          </cell>
          <cell r="B1359" t="str">
            <v>Moyen</v>
          </cell>
          <cell r="D1359" t="str">
            <v>*</v>
          </cell>
          <cell r="F1359">
            <v>1</v>
          </cell>
          <cell r="G1359">
            <v>0</v>
          </cell>
          <cell r="H1359">
            <v>0</v>
          </cell>
        </row>
        <row r="1360">
          <cell r="A1360">
            <v>4274</v>
          </cell>
          <cell r="B1360" t="str">
            <v>Moyen</v>
          </cell>
          <cell r="D1360" t="str">
            <v>*</v>
          </cell>
          <cell r="F1360">
            <v>1</v>
          </cell>
          <cell r="G1360">
            <v>0</v>
          </cell>
          <cell r="H1360">
            <v>2317.21749267</v>
          </cell>
        </row>
        <row r="1361">
          <cell r="A1361">
            <v>4275</v>
          </cell>
          <cell r="B1361" t="str">
            <v>Moyen</v>
          </cell>
          <cell r="D1361" t="str">
            <v>*</v>
          </cell>
          <cell r="F1361">
            <v>1</v>
          </cell>
          <cell r="G1361">
            <v>0</v>
          </cell>
          <cell r="H1361">
            <v>0</v>
          </cell>
        </row>
        <row r="1362">
          <cell r="A1362">
            <v>4276</v>
          </cell>
          <cell r="B1362" t="str">
            <v>Moyen</v>
          </cell>
          <cell r="D1362" t="str">
            <v>*</v>
          </cell>
          <cell r="F1362">
            <v>1</v>
          </cell>
          <cell r="G1362">
            <v>0</v>
          </cell>
          <cell r="H1362">
            <v>0</v>
          </cell>
        </row>
        <row r="1363">
          <cell r="A1363">
            <v>4277</v>
          </cell>
          <cell r="B1363" t="str">
            <v>Moyen</v>
          </cell>
          <cell r="D1363" t="str">
            <v>*</v>
          </cell>
          <cell r="F1363">
            <v>1</v>
          </cell>
          <cell r="G1363">
            <v>0</v>
          </cell>
          <cell r="H1363">
            <v>0</v>
          </cell>
        </row>
        <row r="1364">
          <cell r="A1364">
            <v>4278</v>
          </cell>
          <cell r="B1364" t="str">
            <v>Moyen</v>
          </cell>
          <cell r="D1364" t="str">
            <v>*</v>
          </cell>
          <cell r="F1364">
            <v>1</v>
          </cell>
          <cell r="G1364">
            <v>0</v>
          </cell>
          <cell r="H1364">
            <v>0</v>
          </cell>
        </row>
        <row r="1365">
          <cell r="A1365">
            <v>4279</v>
          </cell>
          <cell r="B1365" t="str">
            <v>Moyen</v>
          </cell>
          <cell r="D1365" t="str">
            <v>*</v>
          </cell>
          <cell r="F1365">
            <v>1</v>
          </cell>
          <cell r="G1365">
            <v>0</v>
          </cell>
          <cell r="H1365">
            <v>0</v>
          </cell>
        </row>
        <row r="1366">
          <cell r="A1366">
            <v>4280</v>
          </cell>
          <cell r="B1366" t="str">
            <v>Moyen</v>
          </cell>
          <cell r="D1366" t="str">
            <v>*</v>
          </cell>
          <cell r="F1366">
            <v>1</v>
          </cell>
          <cell r="G1366">
            <v>0</v>
          </cell>
          <cell r="H1366">
            <v>2314.2162960000001</v>
          </cell>
        </row>
        <row r="1367">
          <cell r="A1367">
            <v>4281</v>
          </cell>
          <cell r="B1367" t="str">
            <v>Moyen</v>
          </cell>
          <cell r="D1367" t="str">
            <v>*</v>
          </cell>
          <cell r="F1367">
            <v>1</v>
          </cell>
          <cell r="G1367">
            <v>0</v>
          </cell>
          <cell r="H1367">
            <v>9324.5129258725192</v>
          </cell>
        </row>
        <row r="1368">
          <cell r="A1368">
            <v>4282</v>
          </cell>
          <cell r="B1368" t="str">
            <v>Moyen</v>
          </cell>
          <cell r="D1368" t="str">
            <v>*</v>
          </cell>
          <cell r="F1368">
            <v>1</v>
          </cell>
          <cell r="G1368">
            <v>0</v>
          </cell>
          <cell r="H1368">
            <v>17979.781370000001</v>
          </cell>
        </row>
        <row r="1369">
          <cell r="A1369">
            <v>4283</v>
          </cell>
          <cell r="B1369" t="str">
            <v>Moyen</v>
          </cell>
          <cell r="D1369" t="str">
            <v>*</v>
          </cell>
          <cell r="F1369">
            <v>1</v>
          </cell>
          <cell r="G1369">
            <v>0</v>
          </cell>
          <cell r="H1369">
            <v>0</v>
          </cell>
        </row>
        <row r="1370">
          <cell r="A1370">
            <v>4284</v>
          </cell>
          <cell r="B1370" t="str">
            <v>Moyen</v>
          </cell>
          <cell r="D1370" t="str">
            <v>*</v>
          </cell>
          <cell r="F1370">
            <v>1</v>
          </cell>
          <cell r="G1370">
            <v>0</v>
          </cell>
          <cell r="H1370">
            <v>0</v>
          </cell>
        </row>
        <row r="1371">
          <cell r="A1371">
            <v>4285</v>
          </cell>
          <cell r="B1371" t="str">
            <v>Moyen</v>
          </cell>
          <cell r="D1371" t="str">
            <v>*</v>
          </cell>
          <cell r="F1371">
            <v>1</v>
          </cell>
          <cell r="G1371">
            <v>0</v>
          </cell>
          <cell r="H1371">
            <v>0</v>
          </cell>
        </row>
        <row r="1372">
          <cell r="A1372">
            <v>4287</v>
          </cell>
          <cell r="B1372" t="str">
            <v>Moyen</v>
          </cell>
          <cell r="D1372" t="str">
            <v>*</v>
          </cell>
          <cell r="F1372">
            <v>1</v>
          </cell>
          <cell r="G1372">
            <v>0</v>
          </cell>
          <cell r="H1372">
            <v>550204.688596291</v>
          </cell>
        </row>
        <row r="1373">
          <cell r="A1373">
            <v>4288</v>
          </cell>
          <cell r="B1373" t="str">
            <v>Moyen</v>
          </cell>
          <cell r="D1373" t="str">
            <v>*</v>
          </cell>
          <cell r="F1373">
            <v>1</v>
          </cell>
          <cell r="G1373">
            <v>0</v>
          </cell>
          <cell r="H1373">
            <v>16761.904761904701</v>
          </cell>
        </row>
        <row r="1374">
          <cell r="A1374">
            <v>4291</v>
          </cell>
          <cell r="B1374" t="str">
            <v>Moyen</v>
          </cell>
          <cell r="D1374" t="str">
            <v>*</v>
          </cell>
          <cell r="F1374">
            <v>1</v>
          </cell>
          <cell r="G1374">
            <v>0</v>
          </cell>
          <cell r="H1374">
            <v>0</v>
          </cell>
        </row>
        <row r="1375">
          <cell r="A1375">
            <v>4295</v>
          </cell>
          <cell r="B1375" t="str">
            <v>Moyen</v>
          </cell>
          <cell r="D1375" t="str">
            <v>*</v>
          </cell>
          <cell r="F1375">
            <v>1</v>
          </cell>
          <cell r="G1375">
            <v>0</v>
          </cell>
          <cell r="H1375">
            <v>479559.63567506499</v>
          </cell>
        </row>
        <row r="1376">
          <cell r="A1376">
            <v>4296</v>
          </cell>
          <cell r="B1376" t="str">
            <v>Moyen</v>
          </cell>
          <cell r="D1376" t="str">
            <v>*</v>
          </cell>
          <cell r="F1376">
            <v>1</v>
          </cell>
          <cell r="G1376">
            <v>0</v>
          </cell>
          <cell r="H1376">
            <v>70441</v>
          </cell>
        </row>
        <row r="1377">
          <cell r="A1377">
            <v>4297</v>
          </cell>
          <cell r="B1377" t="str">
            <v>Moyen</v>
          </cell>
          <cell r="D1377" t="str">
            <v>*</v>
          </cell>
          <cell r="F1377">
            <v>1</v>
          </cell>
          <cell r="G1377">
            <v>0</v>
          </cell>
          <cell r="H1377">
            <v>0</v>
          </cell>
        </row>
        <row r="1378">
          <cell r="A1378">
            <v>4300</v>
          </cell>
          <cell r="B1378" t="str">
            <v>Moyen</v>
          </cell>
          <cell r="D1378" t="str">
            <v>*</v>
          </cell>
          <cell r="F1378">
            <v>1</v>
          </cell>
          <cell r="G1378">
            <v>0</v>
          </cell>
          <cell r="H1378">
            <v>498000</v>
          </cell>
        </row>
        <row r="1379">
          <cell r="A1379">
            <v>4301</v>
          </cell>
          <cell r="B1379" t="str">
            <v>Moyen</v>
          </cell>
          <cell r="D1379" t="str">
            <v>*</v>
          </cell>
          <cell r="F1379">
            <v>1</v>
          </cell>
          <cell r="G1379">
            <v>0</v>
          </cell>
          <cell r="H1379">
            <v>60000</v>
          </cell>
        </row>
        <row r="1380">
          <cell r="A1380">
            <v>4302</v>
          </cell>
          <cell r="B1380" t="str">
            <v>Moyen</v>
          </cell>
          <cell r="D1380" t="str">
            <v>*</v>
          </cell>
          <cell r="F1380">
            <v>1</v>
          </cell>
          <cell r="G1380">
            <v>0</v>
          </cell>
          <cell r="H1380">
            <v>19344.122589610299</v>
          </cell>
        </row>
        <row r="1381">
          <cell r="A1381">
            <v>4303</v>
          </cell>
          <cell r="B1381" t="str">
            <v>Moyen</v>
          </cell>
          <cell r="D1381" t="str">
            <v>*</v>
          </cell>
          <cell r="F1381">
            <v>1</v>
          </cell>
          <cell r="G1381">
            <v>0</v>
          </cell>
          <cell r="H1381">
            <v>32500</v>
          </cell>
        </row>
        <row r="1382">
          <cell r="A1382">
            <v>4304</v>
          </cell>
          <cell r="B1382" t="str">
            <v>Moyen</v>
          </cell>
          <cell r="D1382" t="str">
            <v>*</v>
          </cell>
          <cell r="F1382">
            <v>1</v>
          </cell>
          <cell r="G1382">
            <v>0</v>
          </cell>
          <cell r="H1382">
            <v>1171305.8649267601</v>
          </cell>
        </row>
        <row r="1383">
          <cell r="A1383">
            <v>4305</v>
          </cell>
          <cell r="B1383" t="str">
            <v>Moyen</v>
          </cell>
          <cell r="D1383" t="str">
            <v>*</v>
          </cell>
          <cell r="F1383">
            <v>1</v>
          </cell>
          <cell r="G1383">
            <v>0</v>
          </cell>
          <cell r="H1383">
            <v>47556.8825</v>
          </cell>
        </row>
        <row r="1384">
          <cell r="A1384">
            <v>4306</v>
          </cell>
          <cell r="B1384" t="str">
            <v>Moyen</v>
          </cell>
          <cell r="D1384" t="str">
            <v>*</v>
          </cell>
          <cell r="F1384">
            <v>1</v>
          </cell>
          <cell r="G1384">
            <v>0</v>
          </cell>
          <cell r="H1384">
            <v>177436.36850000001</v>
          </cell>
        </row>
        <row r="1385">
          <cell r="A1385">
            <v>4307</v>
          </cell>
          <cell r="B1385" t="str">
            <v>Moyen</v>
          </cell>
          <cell r="D1385" t="str">
            <v>*</v>
          </cell>
          <cell r="F1385">
            <v>1</v>
          </cell>
          <cell r="G1385">
            <v>0</v>
          </cell>
          <cell r="H1385">
            <v>109413.62760000001</v>
          </cell>
        </row>
        <row r="1386">
          <cell r="A1386">
            <v>4308</v>
          </cell>
          <cell r="B1386" t="str">
            <v>Moyen</v>
          </cell>
          <cell r="D1386" t="str">
            <v>*</v>
          </cell>
          <cell r="F1386">
            <v>1</v>
          </cell>
          <cell r="G1386">
            <v>0</v>
          </cell>
          <cell r="H1386">
            <v>186081.88175999999</v>
          </cell>
        </row>
        <row r="1387">
          <cell r="A1387">
            <v>4309</v>
          </cell>
          <cell r="B1387" t="str">
            <v>Moyen</v>
          </cell>
          <cell r="D1387" t="str">
            <v>*</v>
          </cell>
          <cell r="F1387">
            <v>1</v>
          </cell>
          <cell r="G1387">
            <v>0</v>
          </cell>
          <cell r="H1387">
            <v>0</v>
          </cell>
        </row>
        <row r="1388">
          <cell r="A1388">
            <v>4310</v>
          </cell>
          <cell r="B1388" t="str">
            <v>Moyen</v>
          </cell>
          <cell r="D1388" t="str">
            <v>*</v>
          </cell>
          <cell r="F1388">
            <v>1</v>
          </cell>
          <cell r="G1388">
            <v>0</v>
          </cell>
          <cell r="H1388">
            <v>12299.19375</v>
          </cell>
        </row>
        <row r="1389">
          <cell r="A1389">
            <v>4311</v>
          </cell>
          <cell r="B1389" t="str">
            <v>Moyen</v>
          </cell>
          <cell r="D1389" t="str">
            <v>*</v>
          </cell>
          <cell r="F1389">
            <v>1</v>
          </cell>
          <cell r="G1389">
            <v>0</v>
          </cell>
          <cell r="H1389">
            <v>0</v>
          </cell>
        </row>
        <row r="1390">
          <cell r="A1390">
            <v>4317</v>
          </cell>
          <cell r="B1390" t="str">
            <v>Moyen</v>
          </cell>
          <cell r="D1390" t="str">
            <v>*</v>
          </cell>
          <cell r="F1390">
            <v>1</v>
          </cell>
          <cell r="G1390">
            <v>0</v>
          </cell>
          <cell r="H1390">
            <v>1758972</v>
          </cell>
        </row>
        <row r="1391">
          <cell r="A1391">
            <v>4318</v>
          </cell>
          <cell r="B1391" t="str">
            <v>Moyen</v>
          </cell>
          <cell r="D1391" t="str">
            <v>*</v>
          </cell>
          <cell r="F1391">
            <v>1</v>
          </cell>
          <cell r="G1391">
            <v>0</v>
          </cell>
          <cell r="H1391">
            <v>0</v>
          </cell>
        </row>
        <row r="1392">
          <cell r="A1392">
            <v>4319</v>
          </cell>
          <cell r="B1392" t="str">
            <v>Moyen</v>
          </cell>
          <cell r="D1392" t="str">
            <v>*</v>
          </cell>
          <cell r="F1392">
            <v>1</v>
          </cell>
          <cell r="G1392">
            <v>0</v>
          </cell>
          <cell r="H1392">
            <v>0</v>
          </cell>
        </row>
        <row r="1393">
          <cell r="A1393">
            <v>4321</v>
          </cell>
          <cell r="B1393" t="str">
            <v>Moyen</v>
          </cell>
          <cell r="D1393" t="str">
            <v>*</v>
          </cell>
          <cell r="F1393">
            <v>1</v>
          </cell>
          <cell r="G1393">
            <v>0</v>
          </cell>
          <cell r="H1393">
            <v>43306</v>
          </cell>
        </row>
        <row r="1394">
          <cell r="A1394">
            <v>4329</v>
          </cell>
          <cell r="B1394" t="str">
            <v>Moyen</v>
          </cell>
          <cell r="D1394" t="str">
            <v>*</v>
          </cell>
          <cell r="F1394">
            <v>1</v>
          </cell>
          <cell r="G1394">
            <v>0</v>
          </cell>
          <cell r="H1394">
            <v>0</v>
          </cell>
        </row>
        <row r="1395">
          <cell r="A1395">
            <v>4330</v>
          </cell>
          <cell r="B1395" t="str">
            <v>Moyen</v>
          </cell>
          <cell r="D1395" t="str">
            <v>*</v>
          </cell>
          <cell r="F1395">
            <v>1</v>
          </cell>
          <cell r="G1395">
            <v>0</v>
          </cell>
          <cell r="H1395">
            <v>0</v>
          </cell>
        </row>
        <row r="1396">
          <cell r="A1396">
            <v>4331</v>
          </cell>
          <cell r="B1396" t="str">
            <v>Moyen</v>
          </cell>
          <cell r="D1396" t="str">
            <v>*</v>
          </cell>
          <cell r="F1396">
            <v>1</v>
          </cell>
          <cell r="G1396">
            <v>0</v>
          </cell>
          <cell r="H1396">
            <v>0</v>
          </cell>
        </row>
        <row r="1397">
          <cell r="A1397">
            <v>4332</v>
          </cell>
          <cell r="B1397" t="str">
            <v>Moyen</v>
          </cell>
          <cell r="D1397" t="str">
            <v>*</v>
          </cell>
          <cell r="F1397">
            <v>1</v>
          </cell>
          <cell r="G1397">
            <v>0</v>
          </cell>
          <cell r="H1397">
            <v>8527</v>
          </cell>
        </row>
        <row r="1398">
          <cell r="A1398">
            <v>4333</v>
          </cell>
          <cell r="B1398" t="str">
            <v>Moyen</v>
          </cell>
          <cell r="D1398" t="str">
            <v>*</v>
          </cell>
          <cell r="F1398">
            <v>1</v>
          </cell>
          <cell r="G1398">
            <v>0</v>
          </cell>
          <cell r="H1398">
            <v>16972.6956875</v>
          </cell>
        </row>
        <row r="1399">
          <cell r="A1399">
            <v>4334</v>
          </cell>
          <cell r="B1399" t="str">
            <v>Moyen</v>
          </cell>
          <cell r="D1399" t="str">
            <v>*</v>
          </cell>
          <cell r="F1399">
            <v>1</v>
          </cell>
          <cell r="G1399">
            <v>0</v>
          </cell>
          <cell r="H1399">
            <v>0</v>
          </cell>
        </row>
        <row r="1400">
          <cell r="A1400">
            <v>4350</v>
          </cell>
          <cell r="B1400" t="str">
            <v>Moyen</v>
          </cell>
          <cell r="D1400" t="str">
            <v>*</v>
          </cell>
          <cell r="F1400">
            <v>1</v>
          </cell>
          <cell r="G1400">
            <v>0</v>
          </cell>
          <cell r="H1400">
            <v>446871</v>
          </cell>
        </row>
        <row r="1401">
          <cell r="A1401">
            <v>4352</v>
          </cell>
          <cell r="B1401" t="str">
            <v>Moyen</v>
          </cell>
          <cell r="D1401" t="str">
            <v>*</v>
          </cell>
          <cell r="F1401">
            <v>1</v>
          </cell>
          <cell r="G1401">
            <v>0</v>
          </cell>
          <cell r="H1401">
            <v>268000</v>
          </cell>
        </row>
        <row r="1402">
          <cell r="A1402">
            <v>4353</v>
          </cell>
          <cell r="B1402" t="str">
            <v>Moyen</v>
          </cell>
          <cell r="D1402" t="str">
            <v>*</v>
          </cell>
          <cell r="F1402">
            <v>1</v>
          </cell>
          <cell r="G1402">
            <v>0</v>
          </cell>
          <cell r="H1402">
            <v>29500</v>
          </cell>
        </row>
        <row r="1403">
          <cell r="A1403">
            <v>4354</v>
          </cell>
          <cell r="B1403" t="str">
            <v>Moyen</v>
          </cell>
          <cell r="D1403" t="str">
            <v>*</v>
          </cell>
          <cell r="F1403">
            <v>1</v>
          </cell>
          <cell r="G1403">
            <v>0</v>
          </cell>
          <cell r="H1403">
            <v>1500</v>
          </cell>
        </row>
        <row r="1404">
          <cell r="A1404">
            <v>4355</v>
          </cell>
          <cell r="B1404" t="str">
            <v>Moyen</v>
          </cell>
          <cell r="D1404" t="str">
            <v>*</v>
          </cell>
          <cell r="F1404">
            <v>1</v>
          </cell>
          <cell r="G1404">
            <v>0</v>
          </cell>
          <cell r="H1404">
            <v>1000</v>
          </cell>
        </row>
        <row r="1405">
          <cell r="A1405">
            <v>4356</v>
          </cell>
          <cell r="B1405" t="str">
            <v>Moyen</v>
          </cell>
          <cell r="D1405" t="str">
            <v>*</v>
          </cell>
          <cell r="F1405">
            <v>1</v>
          </cell>
          <cell r="G1405">
            <v>0</v>
          </cell>
          <cell r="H1405">
            <v>0</v>
          </cell>
        </row>
        <row r="1406">
          <cell r="A1406">
            <v>4366</v>
          </cell>
          <cell r="B1406" t="str">
            <v>Moyen</v>
          </cell>
          <cell r="D1406" t="str">
            <v>*</v>
          </cell>
          <cell r="F1406">
            <v>1</v>
          </cell>
          <cell r="G1406">
            <v>0</v>
          </cell>
          <cell r="H1406">
            <v>0</v>
          </cell>
        </row>
        <row r="1407">
          <cell r="A1407">
            <v>4367</v>
          </cell>
          <cell r="B1407" t="str">
            <v>Moyen</v>
          </cell>
          <cell r="D1407" t="str">
            <v>*</v>
          </cell>
          <cell r="F1407">
            <v>1</v>
          </cell>
          <cell r="G1407">
            <v>0</v>
          </cell>
          <cell r="H1407">
            <v>0</v>
          </cell>
        </row>
        <row r="1408">
          <cell r="A1408">
            <v>4368</v>
          </cell>
          <cell r="B1408" t="str">
            <v>Moyen</v>
          </cell>
          <cell r="D1408" t="str">
            <v>*</v>
          </cell>
          <cell r="F1408">
            <v>1</v>
          </cell>
          <cell r="G1408">
            <v>0</v>
          </cell>
          <cell r="H1408">
            <v>0</v>
          </cell>
        </row>
        <row r="1409">
          <cell r="A1409">
            <v>4369</v>
          </cell>
          <cell r="B1409" t="str">
            <v>Moyen</v>
          </cell>
          <cell r="D1409" t="str">
            <v>*</v>
          </cell>
          <cell r="F1409">
            <v>1</v>
          </cell>
          <cell r="G1409">
            <v>0</v>
          </cell>
          <cell r="H1409">
            <v>251730</v>
          </cell>
        </row>
        <row r="1410">
          <cell r="A1410">
            <v>4370</v>
          </cell>
          <cell r="B1410" t="str">
            <v>Moyen</v>
          </cell>
          <cell r="D1410" t="str">
            <v>*</v>
          </cell>
          <cell r="F1410">
            <v>1</v>
          </cell>
          <cell r="G1410">
            <v>0</v>
          </cell>
          <cell r="H1410">
            <v>95162.961774999902</v>
          </cell>
        </row>
        <row r="1411">
          <cell r="A1411">
            <v>4371</v>
          </cell>
          <cell r="B1411" t="str">
            <v>Moyen</v>
          </cell>
          <cell r="D1411" t="str">
            <v>*</v>
          </cell>
          <cell r="F1411">
            <v>1</v>
          </cell>
          <cell r="G1411">
            <v>0</v>
          </cell>
          <cell r="H1411">
            <v>0</v>
          </cell>
        </row>
        <row r="1412">
          <cell r="A1412">
            <v>4372</v>
          </cell>
          <cell r="B1412" t="str">
            <v>Moyen</v>
          </cell>
          <cell r="D1412" t="str">
            <v>*</v>
          </cell>
          <cell r="F1412">
            <v>1</v>
          </cell>
          <cell r="G1412">
            <v>0</v>
          </cell>
          <cell r="H1412">
            <v>240238</v>
          </cell>
        </row>
        <row r="1413">
          <cell r="A1413">
            <v>4380</v>
          </cell>
          <cell r="B1413" t="str">
            <v>Moyen</v>
          </cell>
          <cell r="D1413" t="str">
            <v>*</v>
          </cell>
          <cell r="F1413">
            <v>1</v>
          </cell>
          <cell r="G1413">
            <v>0</v>
          </cell>
          <cell r="H1413">
            <v>0</v>
          </cell>
        </row>
        <row r="1414">
          <cell r="A1414">
            <v>4381</v>
          </cell>
          <cell r="B1414" t="str">
            <v>Moyen</v>
          </cell>
          <cell r="D1414" t="str">
            <v>*</v>
          </cell>
          <cell r="F1414">
            <v>1</v>
          </cell>
          <cell r="G1414">
            <v>0</v>
          </cell>
          <cell r="H1414">
            <v>0</v>
          </cell>
        </row>
        <row r="1415">
          <cell r="A1415">
            <v>4382</v>
          </cell>
          <cell r="B1415" t="str">
            <v>Moyen</v>
          </cell>
          <cell r="D1415" t="str">
            <v>*</v>
          </cell>
          <cell r="F1415">
            <v>1</v>
          </cell>
          <cell r="G1415">
            <v>0</v>
          </cell>
          <cell r="H1415">
            <v>0</v>
          </cell>
        </row>
        <row r="1416">
          <cell r="A1416">
            <v>4383</v>
          </cell>
          <cell r="B1416" t="str">
            <v>Moyen</v>
          </cell>
          <cell r="D1416" t="str">
            <v>*</v>
          </cell>
          <cell r="F1416">
            <v>1</v>
          </cell>
          <cell r="G1416">
            <v>0</v>
          </cell>
          <cell r="H1416">
            <v>0</v>
          </cell>
        </row>
        <row r="1417">
          <cell r="A1417">
            <v>4384</v>
          </cell>
          <cell r="B1417" t="str">
            <v>Moyen</v>
          </cell>
          <cell r="D1417" t="str">
            <v>*</v>
          </cell>
          <cell r="F1417">
            <v>1</v>
          </cell>
          <cell r="G1417">
            <v>0</v>
          </cell>
          <cell r="H1417">
            <v>163963.01172000001</v>
          </cell>
        </row>
        <row r="1418">
          <cell r="A1418">
            <v>4385</v>
          </cell>
          <cell r="B1418" t="str">
            <v>Moyen</v>
          </cell>
          <cell r="D1418" t="str">
            <v>*</v>
          </cell>
          <cell r="F1418">
            <v>1</v>
          </cell>
          <cell r="G1418">
            <v>0</v>
          </cell>
          <cell r="H1418">
            <v>162349</v>
          </cell>
        </row>
        <row r="1419">
          <cell r="A1419">
            <v>4386</v>
          </cell>
          <cell r="B1419" t="str">
            <v>Moyen</v>
          </cell>
          <cell r="D1419" t="str">
            <v>*</v>
          </cell>
          <cell r="F1419">
            <v>1</v>
          </cell>
          <cell r="G1419">
            <v>0</v>
          </cell>
          <cell r="H1419">
            <v>0</v>
          </cell>
        </row>
        <row r="1420">
          <cell r="A1420">
            <v>4387</v>
          </cell>
          <cell r="B1420" t="str">
            <v>Moyen</v>
          </cell>
          <cell r="D1420" t="str">
            <v>*</v>
          </cell>
          <cell r="F1420">
            <v>1</v>
          </cell>
          <cell r="G1420">
            <v>0</v>
          </cell>
          <cell r="H1420">
            <v>338316.38231999998</v>
          </cell>
        </row>
        <row r="1421">
          <cell r="A1421">
            <v>4388</v>
          </cell>
          <cell r="B1421" t="str">
            <v>Moyen</v>
          </cell>
          <cell r="D1421" t="str">
            <v>*</v>
          </cell>
          <cell r="F1421">
            <v>1</v>
          </cell>
          <cell r="G1421">
            <v>0</v>
          </cell>
          <cell r="H1421">
            <v>0</v>
          </cell>
        </row>
        <row r="1422">
          <cell r="A1422">
            <v>4389</v>
          </cell>
          <cell r="B1422" t="str">
            <v>Moyen</v>
          </cell>
          <cell r="D1422" t="str">
            <v>*</v>
          </cell>
          <cell r="F1422">
            <v>1</v>
          </cell>
          <cell r="G1422">
            <v>0</v>
          </cell>
          <cell r="H1422">
            <v>0</v>
          </cell>
        </row>
        <row r="1423">
          <cell r="A1423">
            <v>4390</v>
          </cell>
          <cell r="B1423" t="str">
            <v>Moyen</v>
          </cell>
          <cell r="D1423" t="str">
            <v>*</v>
          </cell>
          <cell r="F1423">
            <v>1</v>
          </cell>
          <cell r="G1423">
            <v>0</v>
          </cell>
          <cell r="H1423">
            <v>38567.286453615801</v>
          </cell>
        </row>
        <row r="1424">
          <cell r="A1424">
            <v>4398</v>
          </cell>
          <cell r="B1424" t="str">
            <v>Moyen</v>
          </cell>
          <cell r="D1424" t="str">
            <v>*</v>
          </cell>
          <cell r="F1424">
            <v>1</v>
          </cell>
          <cell r="G1424">
            <v>0</v>
          </cell>
          <cell r="H1424">
            <v>0</v>
          </cell>
        </row>
        <row r="1425">
          <cell r="A1425">
            <v>4399</v>
          </cell>
          <cell r="B1425" t="str">
            <v>Moyen</v>
          </cell>
          <cell r="D1425" t="str">
            <v>*</v>
          </cell>
          <cell r="F1425">
            <v>1</v>
          </cell>
          <cell r="G1425">
            <v>0</v>
          </cell>
          <cell r="H1425">
            <v>18088</v>
          </cell>
        </row>
        <row r="1426">
          <cell r="A1426">
            <v>4400</v>
          </cell>
          <cell r="B1426" t="str">
            <v>Moyen</v>
          </cell>
          <cell r="D1426" t="str">
            <v>*</v>
          </cell>
          <cell r="F1426">
            <v>1</v>
          </cell>
          <cell r="G1426">
            <v>0</v>
          </cell>
          <cell r="H1426">
            <v>3423.7623762376202</v>
          </cell>
        </row>
        <row r="1427">
          <cell r="A1427">
            <v>4401</v>
          </cell>
          <cell r="B1427" t="str">
            <v>Moyen</v>
          </cell>
          <cell r="D1427" t="str">
            <v>*</v>
          </cell>
          <cell r="F1427">
            <v>1</v>
          </cell>
          <cell r="G1427">
            <v>0</v>
          </cell>
          <cell r="H1427">
            <v>2520.5528846153802</v>
          </cell>
        </row>
        <row r="1428">
          <cell r="A1428">
            <v>4402</v>
          </cell>
          <cell r="B1428" t="str">
            <v>Moyen</v>
          </cell>
          <cell r="D1428" t="str">
            <v>*</v>
          </cell>
          <cell r="F1428">
            <v>1</v>
          </cell>
          <cell r="G1428">
            <v>0</v>
          </cell>
          <cell r="H1428">
            <v>0</v>
          </cell>
        </row>
        <row r="1429">
          <cell r="A1429">
            <v>4403</v>
          </cell>
          <cell r="B1429" t="str">
            <v>Moyen</v>
          </cell>
          <cell r="D1429" t="str">
            <v>*</v>
          </cell>
          <cell r="F1429">
            <v>1</v>
          </cell>
          <cell r="G1429">
            <v>0</v>
          </cell>
          <cell r="H1429">
            <v>1250</v>
          </cell>
        </row>
        <row r="1430">
          <cell r="A1430">
            <v>4404</v>
          </cell>
          <cell r="B1430" t="str">
            <v>Moyen</v>
          </cell>
          <cell r="D1430" t="str">
            <v>*</v>
          </cell>
          <cell r="F1430">
            <v>1</v>
          </cell>
          <cell r="G1430">
            <v>0</v>
          </cell>
          <cell r="H1430">
            <v>0</v>
          </cell>
        </row>
        <row r="1431">
          <cell r="A1431">
            <v>4405</v>
          </cell>
          <cell r="B1431" t="str">
            <v>Moyen</v>
          </cell>
          <cell r="D1431" t="str">
            <v>*</v>
          </cell>
          <cell r="F1431">
            <v>1</v>
          </cell>
          <cell r="G1431">
            <v>0</v>
          </cell>
          <cell r="H1431">
            <v>678037.5</v>
          </cell>
        </row>
        <row r="1432">
          <cell r="A1432">
            <v>4406</v>
          </cell>
          <cell r="B1432" t="str">
            <v>Moyen</v>
          </cell>
          <cell r="D1432" t="str">
            <v>*</v>
          </cell>
          <cell r="F1432">
            <v>1</v>
          </cell>
          <cell r="G1432">
            <v>0</v>
          </cell>
          <cell r="H1432">
            <v>0</v>
          </cell>
        </row>
        <row r="1433">
          <cell r="A1433">
            <v>4410</v>
          </cell>
          <cell r="B1433" t="str">
            <v>Moyen</v>
          </cell>
          <cell r="D1433" t="str">
            <v>*</v>
          </cell>
          <cell r="F1433">
            <v>1</v>
          </cell>
          <cell r="G1433">
            <v>0</v>
          </cell>
          <cell r="H1433">
            <v>6965.5172413793098</v>
          </cell>
        </row>
        <row r="1434">
          <cell r="A1434">
            <v>4411</v>
          </cell>
          <cell r="B1434" t="str">
            <v>Moyen</v>
          </cell>
          <cell r="D1434" t="str">
            <v>*</v>
          </cell>
          <cell r="F1434">
            <v>1</v>
          </cell>
          <cell r="G1434">
            <v>0</v>
          </cell>
          <cell r="H1434">
            <v>0</v>
          </cell>
        </row>
        <row r="1435">
          <cell r="A1435">
            <v>4412</v>
          </cell>
          <cell r="B1435" t="str">
            <v>Moyen</v>
          </cell>
          <cell r="D1435" t="str">
            <v>*</v>
          </cell>
          <cell r="F1435">
            <v>1</v>
          </cell>
          <cell r="G1435">
            <v>0</v>
          </cell>
          <cell r="H1435">
            <v>0</v>
          </cell>
        </row>
        <row r="1436">
          <cell r="A1436">
            <v>4413</v>
          </cell>
          <cell r="B1436" t="str">
            <v>Moyen</v>
          </cell>
          <cell r="D1436" t="str">
            <v>*</v>
          </cell>
          <cell r="F1436">
            <v>1</v>
          </cell>
          <cell r="G1436">
            <v>0</v>
          </cell>
          <cell r="H1436">
            <v>0</v>
          </cell>
        </row>
        <row r="1437">
          <cell r="A1437">
            <v>4414</v>
          </cell>
          <cell r="B1437" t="str">
            <v>Moyen</v>
          </cell>
          <cell r="D1437" t="str">
            <v>*</v>
          </cell>
          <cell r="F1437">
            <v>1</v>
          </cell>
          <cell r="G1437">
            <v>0</v>
          </cell>
          <cell r="H1437">
            <v>0</v>
          </cell>
        </row>
        <row r="1438">
          <cell r="A1438">
            <v>4415</v>
          </cell>
          <cell r="B1438" t="str">
            <v>Moyen</v>
          </cell>
          <cell r="D1438" t="str">
            <v>*</v>
          </cell>
          <cell r="F1438">
            <v>1</v>
          </cell>
          <cell r="G1438">
            <v>0</v>
          </cell>
          <cell r="H1438">
            <v>0</v>
          </cell>
        </row>
        <row r="1439">
          <cell r="A1439">
            <v>4416</v>
          </cell>
          <cell r="B1439" t="str">
            <v>Moyen</v>
          </cell>
          <cell r="D1439" t="str">
            <v>*</v>
          </cell>
          <cell r="F1439">
            <v>1</v>
          </cell>
          <cell r="G1439">
            <v>0</v>
          </cell>
          <cell r="H1439">
            <v>0</v>
          </cell>
        </row>
        <row r="1440">
          <cell r="A1440">
            <v>4417</v>
          </cell>
          <cell r="B1440" t="str">
            <v>Moyen</v>
          </cell>
          <cell r="D1440" t="str">
            <v>*</v>
          </cell>
          <cell r="F1440">
            <v>1</v>
          </cell>
          <cell r="G1440">
            <v>0</v>
          </cell>
          <cell r="H1440">
            <v>0</v>
          </cell>
        </row>
        <row r="1441">
          <cell r="A1441">
            <v>4418</v>
          </cell>
          <cell r="B1441" t="str">
            <v>Moyen</v>
          </cell>
          <cell r="D1441" t="str">
            <v>*</v>
          </cell>
          <cell r="F1441">
            <v>1</v>
          </cell>
          <cell r="G1441">
            <v>0</v>
          </cell>
          <cell r="H1441">
            <v>0</v>
          </cell>
        </row>
        <row r="1442">
          <cell r="A1442">
            <v>4419</v>
          </cell>
          <cell r="B1442" t="str">
            <v>Moyen</v>
          </cell>
          <cell r="D1442" t="str">
            <v>*</v>
          </cell>
          <cell r="F1442">
            <v>1</v>
          </cell>
          <cell r="G1442">
            <v>0</v>
          </cell>
          <cell r="H1442">
            <v>0</v>
          </cell>
        </row>
        <row r="1443">
          <cell r="A1443">
            <v>4420</v>
          </cell>
          <cell r="B1443" t="str">
            <v>Moyen</v>
          </cell>
          <cell r="D1443" t="str">
            <v>*</v>
          </cell>
          <cell r="F1443">
            <v>1</v>
          </cell>
          <cell r="G1443">
            <v>0</v>
          </cell>
          <cell r="H1443">
            <v>0</v>
          </cell>
        </row>
        <row r="1444">
          <cell r="A1444">
            <v>4421</v>
          </cell>
          <cell r="B1444" t="str">
            <v>Moyen</v>
          </cell>
          <cell r="D1444" t="str">
            <v>*</v>
          </cell>
          <cell r="F1444">
            <v>1</v>
          </cell>
          <cell r="G1444">
            <v>0</v>
          </cell>
          <cell r="H1444">
            <v>0</v>
          </cell>
        </row>
        <row r="1445">
          <cell r="A1445">
            <v>4422</v>
          </cell>
          <cell r="B1445" t="str">
            <v>Moyen</v>
          </cell>
          <cell r="D1445" t="str">
            <v>*</v>
          </cell>
          <cell r="F1445">
            <v>1</v>
          </cell>
          <cell r="G1445">
            <v>0</v>
          </cell>
          <cell r="H1445">
            <v>0</v>
          </cell>
        </row>
        <row r="1446">
          <cell r="A1446">
            <v>4423</v>
          </cell>
          <cell r="B1446" t="str">
            <v>Moyen</v>
          </cell>
          <cell r="D1446" t="str">
            <v>*</v>
          </cell>
          <cell r="F1446">
            <v>1</v>
          </cell>
          <cell r="G1446">
            <v>0</v>
          </cell>
          <cell r="H1446">
            <v>0</v>
          </cell>
        </row>
        <row r="1447">
          <cell r="A1447">
            <v>4429</v>
          </cell>
          <cell r="B1447" t="str">
            <v>Moyen</v>
          </cell>
          <cell r="D1447" t="str">
            <v>*</v>
          </cell>
          <cell r="F1447">
            <v>1</v>
          </cell>
          <cell r="G1447">
            <v>0</v>
          </cell>
          <cell r="H1447">
            <v>0</v>
          </cell>
        </row>
        <row r="1448">
          <cell r="A1448">
            <v>4430</v>
          </cell>
          <cell r="B1448" t="str">
            <v>Moyen</v>
          </cell>
          <cell r="D1448" t="str">
            <v>*</v>
          </cell>
          <cell r="F1448">
            <v>1</v>
          </cell>
          <cell r="G1448">
            <v>0</v>
          </cell>
          <cell r="H1448">
            <v>3800</v>
          </cell>
        </row>
        <row r="1449">
          <cell r="A1449">
            <v>4431</v>
          </cell>
          <cell r="B1449" t="str">
            <v>Moyen</v>
          </cell>
          <cell r="D1449" t="str">
            <v>*</v>
          </cell>
          <cell r="F1449">
            <v>1</v>
          </cell>
          <cell r="G1449">
            <v>0</v>
          </cell>
          <cell r="H1449">
            <v>0</v>
          </cell>
        </row>
        <row r="1450">
          <cell r="A1450">
            <v>4432</v>
          </cell>
          <cell r="B1450" t="str">
            <v>Moyen</v>
          </cell>
          <cell r="D1450" t="str">
            <v>*</v>
          </cell>
          <cell r="F1450">
            <v>1</v>
          </cell>
          <cell r="G1450">
            <v>0</v>
          </cell>
          <cell r="H1450">
            <v>0</v>
          </cell>
        </row>
        <row r="1451">
          <cell r="A1451">
            <v>4433</v>
          </cell>
          <cell r="B1451" t="str">
            <v>Moyen</v>
          </cell>
          <cell r="D1451" t="str">
            <v>*</v>
          </cell>
          <cell r="F1451">
            <v>1</v>
          </cell>
          <cell r="G1451">
            <v>0</v>
          </cell>
          <cell r="H1451">
            <v>0</v>
          </cell>
        </row>
        <row r="1452">
          <cell r="A1452">
            <v>4434</v>
          </cell>
          <cell r="B1452" t="str">
            <v>Moyen</v>
          </cell>
          <cell r="D1452" t="str">
            <v>*</v>
          </cell>
          <cell r="F1452">
            <v>1</v>
          </cell>
          <cell r="G1452">
            <v>0</v>
          </cell>
          <cell r="H1452">
            <v>0</v>
          </cell>
        </row>
        <row r="1453">
          <cell r="A1453">
            <v>4435</v>
          </cell>
          <cell r="B1453" t="str">
            <v>Moyen</v>
          </cell>
          <cell r="D1453" t="str">
            <v>*</v>
          </cell>
          <cell r="F1453">
            <v>1</v>
          </cell>
          <cell r="G1453">
            <v>0</v>
          </cell>
          <cell r="H1453">
            <v>0</v>
          </cell>
        </row>
        <row r="1454">
          <cell r="A1454">
            <v>4437</v>
          </cell>
          <cell r="B1454" t="str">
            <v>Moyen</v>
          </cell>
          <cell r="D1454" t="str">
            <v>*</v>
          </cell>
          <cell r="F1454">
            <v>1</v>
          </cell>
          <cell r="G1454">
            <v>0</v>
          </cell>
          <cell r="H1454">
            <v>984</v>
          </cell>
        </row>
        <row r="1455">
          <cell r="A1455">
            <v>4440</v>
          </cell>
          <cell r="B1455" t="str">
            <v>Moyen</v>
          </cell>
          <cell r="D1455" t="str">
            <v>*</v>
          </cell>
          <cell r="F1455">
            <v>1</v>
          </cell>
          <cell r="G1455">
            <v>0</v>
          </cell>
          <cell r="H1455">
            <v>0</v>
          </cell>
        </row>
        <row r="1456">
          <cell r="A1456">
            <v>4441</v>
          </cell>
          <cell r="B1456" t="str">
            <v>Moyen</v>
          </cell>
          <cell r="D1456" t="str">
            <v>*</v>
          </cell>
          <cell r="F1456">
            <v>1</v>
          </cell>
          <cell r="G1456">
            <v>0</v>
          </cell>
          <cell r="H1456">
            <v>0</v>
          </cell>
        </row>
        <row r="1457">
          <cell r="A1457">
            <v>4442</v>
          </cell>
          <cell r="B1457" t="str">
            <v>Moyen</v>
          </cell>
          <cell r="D1457" t="str">
            <v>*</v>
          </cell>
          <cell r="F1457">
            <v>1</v>
          </cell>
          <cell r="G1457">
            <v>0</v>
          </cell>
          <cell r="H1457">
            <v>0</v>
          </cell>
        </row>
        <row r="1458">
          <cell r="A1458">
            <v>4443</v>
          </cell>
          <cell r="B1458" t="str">
            <v>Moyen</v>
          </cell>
          <cell r="D1458" t="str">
            <v>*</v>
          </cell>
          <cell r="F1458">
            <v>1</v>
          </cell>
          <cell r="G1458">
            <v>0</v>
          </cell>
          <cell r="H1458">
            <v>0</v>
          </cell>
        </row>
        <row r="1459">
          <cell r="A1459">
            <v>4444</v>
          </cell>
          <cell r="B1459" t="str">
            <v>Moyen</v>
          </cell>
          <cell r="D1459" t="str">
            <v>*</v>
          </cell>
          <cell r="F1459">
            <v>1</v>
          </cell>
          <cell r="G1459">
            <v>0</v>
          </cell>
          <cell r="H1459">
            <v>0</v>
          </cell>
        </row>
        <row r="1460">
          <cell r="A1460">
            <v>4449</v>
          </cell>
          <cell r="B1460" t="str">
            <v>Moyen</v>
          </cell>
          <cell r="D1460" t="str">
            <v>*</v>
          </cell>
          <cell r="F1460">
            <v>1</v>
          </cell>
          <cell r="G1460">
            <v>0</v>
          </cell>
          <cell r="H1460">
            <v>0</v>
          </cell>
        </row>
        <row r="1461">
          <cell r="A1461">
            <v>4450</v>
          </cell>
          <cell r="B1461" t="str">
            <v>Moyen</v>
          </cell>
          <cell r="D1461" t="str">
            <v>*</v>
          </cell>
          <cell r="F1461">
            <v>1</v>
          </cell>
          <cell r="G1461">
            <v>0</v>
          </cell>
          <cell r="H1461">
            <v>0</v>
          </cell>
        </row>
        <row r="1462">
          <cell r="A1462">
            <v>4451</v>
          </cell>
          <cell r="B1462" t="str">
            <v>Moyen</v>
          </cell>
          <cell r="D1462" t="str">
            <v>*</v>
          </cell>
          <cell r="F1462">
            <v>1</v>
          </cell>
          <cell r="G1462">
            <v>0</v>
          </cell>
          <cell r="H1462">
            <v>18203</v>
          </cell>
        </row>
        <row r="1463">
          <cell r="A1463">
            <v>4452</v>
          </cell>
          <cell r="B1463" t="str">
            <v>Moyen</v>
          </cell>
          <cell r="D1463" t="str">
            <v>*</v>
          </cell>
          <cell r="F1463">
            <v>1</v>
          </cell>
          <cell r="G1463">
            <v>0</v>
          </cell>
          <cell r="H1463">
            <v>2600.25471756656</v>
          </cell>
        </row>
        <row r="1464">
          <cell r="A1464">
            <v>4453</v>
          </cell>
          <cell r="B1464" t="str">
            <v>Moyen</v>
          </cell>
          <cell r="D1464" t="str">
            <v>*</v>
          </cell>
          <cell r="F1464">
            <v>1</v>
          </cell>
          <cell r="G1464">
            <v>0</v>
          </cell>
          <cell r="H1464">
            <v>800</v>
          </cell>
        </row>
        <row r="1465">
          <cell r="A1465">
            <v>4454</v>
          </cell>
          <cell r="B1465" t="str">
            <v>Moyen</v>
          </cell>
          <cell r="D1465" t="str">
            <v>*</v>
          </cell>
          <cell r="F1465">
            <v>1</v>
          </cell>
          <cell r="G1465">
            <v>0</v>
          </cell>
          <cell r="H1465">
            <v>0</v>
          </cell>
        </row>
        <row r="1466">
          <cell r="A1466">
            <v>4455</v>
          </cell>
          <cell r="B1466" t="str">
            <v>Moyen</v>
          </cell>
          <cell r="D1466" t="str">
            <v>*</v>
          </cell>
          <cell r="F1466">
            <v>1</v>
          </cell>
          <cell r="G1466">
            <v>0</v>
          </cell>
          <cell r="H1466">
            <v>0</v>
          </cell>
        </row>
        <row r="1467">
          <cell r="A1467">
            <v>4457</v>
          </cell>
          <cell r="B1467" t="str">
            <v>Moyen</v>
          </cell>
          <cell r="D1467" t="str">
            <v>*</v>
          </cell>
          <cell r="F1467">
            <v>1</v>
          </cell>
          <cell r="G1467">
            <v>0</v>
          </cell>
          <cell r="H1467">
            <v>0</v>
          </cell>
        </row>
        <row r="1468">
          <cell r="A1468">
            <v>4458</v>
          </cell>
          <cell r="B1468" t="str">
            <v>Moyen</v>
          </cell>
          <cell r="D1468" t="str">
            <v>*</v>
          </cell>
          <cell r="F1468">
            <v>1</v>
          </cell>
          <cell r="G1468">
            <v>0</v>
          </cell>
          <cell r="H1468">
            <v>0</v>
          </cell>
        </row>
        <row r="1469">
          <cell r="A1469">
            <v>4459</v>
          </cell>
          <cell r="B1469" t="str">
            <v>Moyen</v>
          </cell>
          <cell r="D1469" t="str">
            <v>*</v>
          </cell>
          <cell r="F1469">
            <v>1</v>
          </cell>
          <cell r="G1469">
            <v>0</v>
          </cell>
          <cell r="H1469">
            <v>0</v>
          </cell>
        </row>
        <row r="1470">
          <cell r="A1470">
            <v>4460</v>
          </cell>
          <cell r="B1470" t="str">
            <v>Moyen</v>
          </cell>
          <cell r="D1470" t="str">
            <v>*</v>
          </cell>
          <cell r="F1470">
            <v>1</v>
          </cell>
          <cell r="G1470">
            <v>0</v>
          </cell>
          <cell r="H1470">
            <v>0</v>
          </cell>
        </row>
        <row r="1471">
          <cell r="A1471">
            <v>4461</v>
          </cell>
          <cell r="B1471" t="str">
            <v>Moyen</v>
          </cell>
          <cell r="D1471" t="str">
            <v>*</v>
          </cell>
          <cell r="F1471">
            <v>1</v>
          </cell>
          <cell r="G1471">
            <v>0</v>
          </cell>
          <cell r="H1471">
            <v>0</v>
          </cell>
        </row>
        <row r="1472">
          <cell r="A1472">
            <v>4462</v>
          </cell>
          <cell r="B1472" t="str">
            <v>Moyen</v>
          </cell>
          <cell r="D1472" t="str">
            <v>*</v>
          </cell>
          <cell r="F1472">
            <v>1</v>
          </cell>
          <cell r="G1472">
            <v>0</v>
          </cell>
          <cell r="H1472">
            <v>0</v>
          </cell>
        </row>
        <row r="1473">
          <cell r="A1473">
            <v>4463</v>
          </cell>
          <cell r="B1473" t="str">
            <v>Moyen</v>
          </cell>
          <cell r="D1473" t="str">
            <v>*</v>
          </cell>
          <cell r="F1473">
            <v>1</v>
          </cell>
          <cell r="G1473">
            <v>0</v>
          </cell>
          <cell r="H1473">
            <v>0</v>
          </cell>
        </row>
        <row r="1474">
          <cell r="A1474">
            <v>4464</v>
          </cell>
          <cell r="B1474" t="str">
            <v>Moyen</v>
          </cell>
          <cell r="D1474" t="str">
            <v>*</v>
          </cell>
          <cell r="F1474">
            <v>1</v>
          </cell>
          <cell r="G1474">
            <v>0</v>
          </cell>
          <cell r="H1474">
            <v>0</v>
          </cell>
        </row>
        <row r="1475">
          <cell r="A1475">
            <v>4465</v>
          </cell>
          <cell r="B1475" t="str">
            <v>Moyen</v>
          </cell>
          <cell r="D1475" t="str">
            <v>*</v>
          </cell>
          <cell r="F1475">
            <v>1</v>
          </cell>
          <cell r="G1475">
            <v>0</v>
          </cell>
          <cell r="H1475">
            <v>0</v>
          </cell>
        </row>
        <row r="1476">
          <cell r="A1476">
            <v>4466</v>
          </cell>
          <cell r="B1476" t="str">
            <v>Moyen</v>
          </cell>
          <cell r="D1476" t="str">
            <v>*</v>
          </cell>
          <cell r="F1476">
            <v>1</v>
          </cell>
          <cell r="G1476">
            <v>0</v>
          </cell>
          <cell r="H1476">
            <v>0</v>
          </cell>
        </row>
        <row r="1477">
          <cell r="A1477">
            <v>4469</v>
          </cell>
          <cell r="B1477" t="str">
            <v>Moyen</v>
          </cell>
          <cell r="D1477" t="str">
            <v>*</v>
          </cell>
          <cell r="F1477">
            <v>1</v>
          </cell>
          <cell r="G1477">
            <v>0</v>
          </cell>
          <cell r="H1477">
            <v>1094845</v>
          </cell>
        </row>
        <row r="1478">
          <cell r="A1478">
            <v>4470</v>
          </cell>
          <cell r="B1478" t="str">
            <v>Moyen</v>
          </cell>
          <cell r="D1478" t="str">
            <v>*</v>
          </cell>
          <cell r="F1478">
            <v>1</v>
          </cell>
          <cell r="G1478">
            <v>0</v>
          </cell>
          <cell r="H1478">
            <v>0</v>
          </cell>
        </row>
        <row r="1479">
          <cell r="A1479">
            <v>4471</v>
          </cell>
          <cell r="B1479" t="str">
            <v>Moyen</v>
          </cell>
          <cell r="D1479" t="str">
            <v>*</v>
          </cell>
          <cell r="F1479">
            <v>1</v>
          </cell>
          <cell r="G1479">
            <v>0</v>
          </cell>
          <cell r="H1479">
            <v>750800</v>
          </cell>
        </row>
        <row r="1480">
          <cell r="A1480">
            <v>4472</v>
          </cell>
          <cell r="B1480" t="str">
            <v>Moyen</v>
          </cell>
          <cell r="D1480" t="str">
            <v>*</v>
          </cell>
          <cell r="F1480">
            <v>1</v>
          </cell>
          <cell r="G1480">
            <v>0</v>
          </cell>
          <cell r="H1480">
            <v>2833</v>
          </cell>
        </row>
        <row r="1481">
          <cell r="A1481">
            <v>4473</v>
          </cell>
          <cell r="B1481" t="str">
            <v>Moyen</v>
          </cell>
          <cell r="D1481" t="str">
            <v>*</v>
          </cell>
          <cell r="F1481">
            <v>1</v>
          </cell>
          <cell r="G1481">
            <v>0</v>
          </cell>
          <cell r="H1481">
            <v>0</v>
          </cell>
        </row>
        <row r="1482">
          <cell r="A1482">
            <v>4475</v>
          </cell>
          <cell r="B1482" t="str">
            <v>Moyen</v>
          </cell>
          <cell r="D1482" t="str">
            <v>*</v>
          </cell>
          <cell r="F1482">
            <v>1</v>
          </cell>
          <cell r="G1482">
            <v>0</v>
          </cell>
          <cell r="H1482">
            <v>0</v>
          </cell>
        </row>
        <row r="1483">
          <cell r="A1483">
            <v>4476</v>
          </cell>
          <cell r="B1483" t="str">
            <v>Moyen</v>
          </cell>
          <cell r="D1483" t="str">
            <v>*</v>
          </cell>
          <cell r="F1483">
            <v>1</v>
          </cell>
          <cell r="G1483">
            <v>0</v>
          </cell>
          <cell r="H1483">
            <v>0</v>
          </cell>
        </row>
        <row r="1484">
          <cell r="A1484">
            <v>4479</v>
          </cell>
          <cell r="B1484" t="str">
            <v>Moyen</v>
          </cell>
          <cell r="D1484" t="str">
            <v>*</v>
          </cell>
          <cell r="F1484">
            <v>1</v>
          </cell>
          <cell r="G1484">
            <v>0</v>
          </cell>
          <cell r="H1484">
            <v>0</v>
          </cell>
        </row>
        <row r="1485">
          <cell r="A1485">
            <v>4480</v>
          </cell>
          <cell r="B1485" t="str">
            <v>Moyen</v>
          </cell>
          <cell r="D1485" t="str">
            <v>*</v>
          </cell>
          <cell r="F1485">
            <v>1</v>
          </cell>
          <cell r="G1485">
            <v>0</v>
          </cell>
          <cell r="H1485">
            <v>0</v>
          </cell>
        </row>
        <row r="1486">
          <cell r="A1486">
            <v>4481</v>
          </cell>
          <cell r="B1486" t="str">
            <v>Moyen</v>
          </cell>
          <cell r="D1486" t="str">
            <v>*</v>
          </cell>
          <cell r="F1486">
            <v>1</v>
          </cell>
          <cell r="G1486">
            <v>0</v>
          </cell>
          <cell r="H1486">
            <v>0</v>
          </cell>
        </row>
        <row r="1487">
          <cell r="A1487">
            <v>4486</v>
          </cell>
          <cell r="B1487" t="str">
            <v>Moyen</v>
          </cell>
          <cell r="D1487" t="str">
            <v>*</v>
          </cell>
          <cell r="F1487">
            <v>1</v>
          </cell>
          <cell r="G1487">
            <v>0</v>
          </cell>
          <cell r="H1487">
            <v>0</v>
          </cell>
        </row>
        <row r="1488">
          <cell r="A1488">
            <v>4487</v>
          </cell>
          <cell r="B1488" t="str">
            <v>Moyen</v>
          </cell>
          <cell r="D1488" t="str">
            <v>*</v>
          </cell>
          <cell r="F1488">
            <v>1</v>
          </cell>
          <cell r="G1488">
            <v>0</v>
          </cell>
          <cell r="H1488">
            <v>0</v>
          </cell>
        </row>
        <row r="1489">
          <cell r="A1489">
            <v>4488</v>
          </cell>
          <cell r="B1489" t="str">
            <v>Moyen</v>
          </cell>
          <cell r="D1489" t="str">
            <v>*</v>
          </cell>
          <cell r="F1489">
            <v>1</v>
          </cell>
          <cell r="G1489">
            <v>0</v>
          </cell>
          <cell r="H1489">
            <v>0</v>
          </cell>
        </row>
        <row r="1490">
          <cell r="A1490">
            <v>4489</v>
          </cell>
          <cell r="B1490" t="str">
            <v>Moyen</v>
          </cell>
          <cell r="D1490" t="str">
            <v>*</v>
          </cell>
          <cell r="F1490">
            <v>1</v>
          </cell>
          <cell r="G1490">
            <v>0</v>
          </cell>
          <cell r="H1490">
            <v>0</v>
          </cell>
        </row>
        <row r="1491">
          <cell r="A1491">
            <v>4490</v>
          </cell>
          <cell r="B1491" t="str">
            <v>Moyen</v>
          </cell>
          <cell r="D1491" t="str">
            <v>*</v>
          </cell>
          <cell r="F1491">
            <v>1</v>
          </cell>
          <cell r="G1491">
            <v>0</v>
          </cell>
          <cell r="H1491">
            <v>0</v>
          </cell>
        </row>
        <row r="1492">
          <cell r="A1492">
            <v>4491</v>
          </cell>
          <cell r="B1492" t="str">
            <v>Moyen</v>
          </cell>
          <cell r="D1492" t="str">
            <v>*</v>
          </cell>
          <cell r="F1492">
            <v>1</v>
          </cell>
          <cell r="G1492">
            <v>0</v>
          </cell>
          <cell r="H1492">
            <v>0</v>
          </cell>
        </row>
        <row r="1493">
          <cell r="A1493">
            <v>4495</v>
          </cell>
          <cell r="B1493" t="str">
            <v>Moyen</v>
          </cell>
          <cell r="D1493" t="str">
            <v>*</v>
          </cell>
          <cell r="F1493">
            <v>1</v>
          </cell>
          <cell r="G1493">
            <v>0</v>
          </cell>
          <cell r="H1493">
            <v>0</v>
          </cell>
        </row>
        <row r="1494">
          <cell r="A1494">
            <v>4496</v>
          </cell>
          <cell r="B1494" t="str">
            <v>Moyen</v>
          </cell>
          <cell r="D1494" t="str">
            <v>*</v>
          </cell>
          <cell r="F1494">
            <v>1</v>
          </cell>
          <cell r="G1494">
            <v>0</v>
          </cell>
          <cell r="H1494">
            <v>9561.0418157142904</v>
          </cell>
        </row>
        <row r="1495">
          <cell r="A1495">
            <v>4497</v>
          </cell>
          <cell r="B1495" t="str">
            <v>Moyen</v>
          </cell>
          <cell r="D1495" t="str">
            <v>*</v>
          </cell>
          <cell r="F1495">
            <v>1</v>
          </cell>
          <cell r="G1495">
            <v>0</v>
          </cell>
          <cell r="H1495">
            <v>0</v>
          </cell>
        </row>
        <row r="1496">
          <cell r="A1496">
            <v>4498</v>
          </cell>
          <cell r="B1496" t="str">
            <v>Moyen</v>
          </cell>
          <cell r="D1496" t="str">
            <v>*</v>
          </cell>
          <cell r="F1496">
            <v>1</v>
          </cell>
          <cell r="G1496">
            <v>0</v>
          </cell>
          <cell r="H1496">
            <v>0</v>
          </cell>
        </row>
        <row r="1497">
          <cell r="A1497">
            <v>4499</v>
          </cell>
          <cell r="B1497" t="str">
            <v>Moyen</v>
          </cell>
          <cell r="D1497" t="str">
            <v>*</v>
          </cell>
          <cell r="F1497">
            <v>1</v>
          </cell>
          <cell r="G1497">
            <v>0</v>
          </cell>
          <cell r="H1497">
            <v>0</v>
          </cell>
        </row>
        <row r="1498">
          <cell r="A1498">
            <v>4500</v>
          </cell>
          <cell r="B1498" t="str">
            <v>Moyen</v>
          </cell>
          <cell r="D1498" t="str">
            <v>*</v>
          </cell>
          <cell r="F1498">
            <v>1</v>
          </cell>
          <cell r="G1498">
            <v>0</v>
          </cell>
          <cell r="H1498">
            <v>0</v>
          </cell>
        </row>
        <row r="1499">
          <cell r="A1499">
            <v>4501</v>
          </cell>
          <cell r="B1499" t="str">
            <v>Moyen</v>
          </cell>
          <cell r="D1499" t="str">
            <v>*</v>
          </cell>
          <cell r="F1499">
            <v>1</v>
          </cell>
          <cell r="G1499">
            <v>0</v>
          </cell>
          <cell r="H1499">
            <v>46941</v>
          </cell>
        </row>
        <row r="1500">
          <cell r="A1500">
            <v>4502</v>
          </cell>
          <cell r="B1500" t="str">
            <v>Moyen</v>
          </cell>
          <cell r="D1500" t="str">
            <v>*</v>
          </cell>
          <cell r="F1500">
            <v>1</v>
          </cell>
          <cell r="G1500">
            <v>0</v>
          </cell>
          <cell r="H1500">
            <v>0</v>
          </cell>
        </row>
        <row r="1501">
          <cell r="A1501">
            <v>4503</v>
          </cell>
          <cell r="B1501" t="str">
            <v>Moyen</v>
          </cell>
          <cell r="D1501" t="str">
            <v>*</v>
          </cell>
          <cell r="F1501">
            <v>1</v>
          </cell>
          <cell r="G1501">
            <v>0</v>
          </cell>
          <cell r="H1501">
            <v>0</v>
          </cell>
        </row>
        <row r="1502">
          <cell r="A1502">
            <v>4508</v>
          </cell>
          <cell r="B1502" t="str">
            <v>Moyen</v>
          </cell>
          <cell r="D1502" t="str">
            <v>*</v>
          </cell>
          <cell r="F1502">
            <v>1</v>
          </cell>
          <cell r="G1502">
            <v>0</v>
          </cell>
          <cell r="H1502">
            <v>0</v>
          </cell>
        </row>
        <row r="1503">
          <cell r="A1503">
            <v>4513</v>
          </cell>
          <cell r="B1503" t="str">
            <v>Moyen</v>
          </cell>
          <cell r="D1503" t="str">
            <v>*</v>
          </cell>
          <cell r="F1503">
            <v>1</v>
          </cell>
          <cell r="G1503">
            <v>0</v>
          </cell>
          <cell r="H1503">
            <v>176117.72099999999</v>
          </cell>
        </row>
        <row r="1504">
          <cell r="A1504">
            <v>4514</v>
          </cell>
          <cell r="B1504" t="str">
            <v>Moyen</v>
          </cell>
          <cell r="D1504" t="str">
            <v>*</v>
          </cell>
          <cell r="F1504">
            <v>1</v>
          </cell>
          <cell r="G1504">
            <v>0</v>
          </cell>
          <cell r="H1504">
            <v>1500</v>
          </cell>
        </row>
        <row r="1505">
          <cell r="A1505">
            <v>4515</v>
          </cell>
          <cell r="B1505" t="str">
            <v>Moyen</v>
          </cell>
          <cell r="D1505" t="str">
            <v>*</v>
          </cell>
          <cell r="F1505">
            <v>1</v>
          </cell>
          <cell r="G1505">
            <v>0</v>
          </cell>
          <cell r="H1505">
            <v>0</v>
          </cell>
        </row>
        <row r="1506">
          <cell r="A1506">
            <v>4516</v>
          </cell>
          <cell r="B1506" t="str">
            <v>Moyen</v>
          </cell>
          <cell r="D1506" t="str">
            <v>*</v>
          </cell>
          <cell r="F1506">
            <v>1</v>
          </cell>
          <cell r="G1506">
            <v>0</v>
          </cell>
          <cell r="H1506">
            <v>0</v>
          </cell>
        </row>
        <row r="1507">
          <cell r="A1507">
            <v>4517</v>
          </cell>
          <cell r="B1507" t="str">
            <v>Moyen</v>
          </cell>
          <cell r="D1507" t="str">
            <v>*</v>
          </cell>
          <cell r="F1507">
            <v>1</v>
          </cell>
          <cell r="G1507">
            <v>0</v>
          </cell>
          <cell r="H1507">
            <v>0</v>
          </cell>
        </row>
        <row r="1508">
          <cell r="A1508">
            <v>4518</v>
          </cell>
          <cell r="B1508" t="str">
            <v>Moyen</v>
          </cell>
          <cell r="D1508" t="str">
            <v>*</v>
          </cell>
          <cell r="F1508">
            <v>1</v>
          </cell>
          <cell r="G1508">
            <v>0</v>
          </cell>
          <cell r="H1508">
            <v>0</v>
          </cell>
        </row>
        <row r="1509">
          <cell r="A1509">
            <v>4520</v>
          </cell>
          <cell r="B1509" t="str">
            <v>Moyen</v>
          </cell>
          <cell r="D1509" t="str">
            <v>*</v>
          </cell>
          <cell r="F1509">
            <v>1</v>
          </cell>
          <cell r="G1509">
            <v>0</v>
          </cell>
          <cell r="H1509">
            <v>800</v>
          </cell>
        </row>
        <row r="1510">
          <cell r="A1510">
            <v>4525</v>
          </cell>
          <cell r="B1510" t="str">
            <v>Moyen</v>
          </cell>
          <cell r="D1510" t="str">
            <v>*</v>
          </cell>
          <cell r="F1510">
            <v>1</v>
          </cell>
          <cell r="G1510">
            <v>0</v>
          </cell>
          <cell r="H1510">
            <v>0</v>
          </cell>
        </row>
        <row r="1511">
          <cell r="A1511">
            <v>4526</v>
          </cell>
          <cell r="B1511" t="str">
            <v>Moyen</v>
          </cell>
          <cell r="D1511" t="str">
            <v>*</v>
          </cell>
          <cell r="F1511">
            <v>1</v>
          </cell>
          <cell r="G1511">
            <v>0</v>
          </cell>
          <cell r="H1511">
            <v>0</v>
          </cell>
        </row>
        <row r="1512">
          <cell r="A1512">
            <v>4531</v>
          </cell>
          <cell r="B1512" t="str">
            <v>Moyen</v>
          </cell>
          <cell r="D1512" t="str">
            <v>*</v>
          </cell>
          <cell r="F1512">
            <v>1</v>
          </cell>
          <cell r="G1512">
            <v>0</v>
          </cell>
          <cell r="H1512">
            <v>0</v>
          </cell>
        </row>
        <row r="1513">
          <cell r="A1513">
            <v>4532</v>
          </cell>
          <cell r="B1513" t="str">
            <v>Moyen</v>
          </cell>
          <cell r="D1513" t="str">
            <v>*</v>
          </cell>
          <cell r="F1513">
            <v>1</v>
          </cell>
          <cell r="G1513">
            <v>0</v>
          </cell>
          <cell r="H1513">
            <v>0</v>
          </cell>
        </row>
        <row r="1514">
          <cell r="A1514">
            <v>4533</v>
          </cell>
          <cell r="B1514" t="str">
            <v>Moyen</v>
          </cell>
          <cell r="D1514" t="str">
            <v>*</v>
          </cell>
          <cell r="F1514">
            <v>1</v>
          </cell>
          <cell r="G1514">
            <v>0</v>
          </cell>
          <cell r="H1514">
            <v>0</v>
          </cell>
        </row>
        <row r="1515">
          <cell r="A1515">
            <v>4534</v>
          </cell>
          <cell r="B1515" t="str">
            <v>Moyen</v>
          </cell>
          <cell r="D1515" t="str">
            <v>*</v>
          </cell>
          <cell r="F1515">
            <v>1</v>
          </cell>
          <cell r="G1515">
            <v>0</v>
          </cell>
          <cell r="H1515">
            <v>0</v>
          </cell>
        </row>
        <row r="1516">
          <cell r="A1516">
            <v>4535</v>
          </cell>
          <cell r="B1516" t="str">
            <v>Moyen</v>
          </cell>
          <cell r="D1516" t="str">
            <v>*</v>
          </cell>
          <cell r="F1516">
            <v>1</v>
          </cell>
          <cell r="G1516">
            <v>0</v>
          </cell>
          <cell r="H1516">
            <v>67000</v>
          </cell>
        </row>
        <row r="1517">
          <cell r="A1517">
            <v>4536</v>
          </cell>
          <cell r="B1517" t="str">
            <v>Moyen</v>
          </cell>
          <cell r="D1517" t="str">
            <v>*</v>
          </cell>
          <cell r="F1517">
            <v>1</v>
          </cell>
          <cell r="G1517">
            <v>0</v>
          </cell>
          <cell r="H1517">
            <v>0</v>
          </cell>
        </row>
        <row r="1518">
          <cell r="A1518">
            <v>4537</v>
          </cell>
          <cell r="B1518" t="str">
            <v>Moyen</v>
          </cell>
          <cell r="D1518" t="str">
            <v>*</v>
          </cell>
          <cell r="F1518">
            <v>1</v>
          </cell>
          <cell r="G1518">
            <v>0</v>
          </cell>
          <cell r="H1518">
            <v>0</v>
          </cell>
        </row>
        <row r="1519">
          <cell r="A1519">
            <v>4538</v>
          </cell>
          <cell r="B1519" t="str">
            <v>Moyen</v>
          </cell>
          <cell r="D1519" t="str">
            <v>*</v>
          </cell>
          <cell r="F1519">
            <v>1</v>
          </cell>
          <cell r="G1519">
            <v>0</v>
          </cell>
          <cell r="H1519">
            <v>0</v>
          </cell>
        </row>
        <row r="1520">
          <cell r="A1520">
            <v>4539</v>
          </cell>
          <cell r="B1520" t="str">
            <v>Moyen</v>
          </cell>
          <cell r="D1520" t="str">
            <v>*</v>
          </cell>
          <cell r="F1520">
            <v>1</v>
          </cell>
          <cell r="G1520">
            <v>0</v>
          </cell>
          <cell r="H1520">
            <v>0</v>
          </cell>
        </row>
        <row r="1521">
          <cell r="A1521">
            <v>4540</v>
          </cell>
          <cell r="B1521" t="str">
            <v>Moyen</v>
          </cell>
          <cell r="D1521" t="str">
            <v>*</v>
          </cell>
          <cell r="F1521">
            <v>1</v>
          </cell>
          <cell r="G1521">
            <v>0</v>
          </cell>
          <cell r="H1521">
            <v>0</v>
          </cell>
        </row>
        <row r="1522">
          <cell r="A1522">
            <v>4541</v>
          </cell>
          <cell r="B1522" t="str">
            <v>Moyen</v>
          </cell>
          <cell r="D1522" t="str">
            <v>*</v>
          </cell>
          <cell r="F1522">
            <v>1</v>
          </cell>
          <cell r="G1522">
            <v>0</v>
          </cell>
          <cell r="H1522">
            <v>0</v>
          </cell>
        </row>
        <row r="1523">
          <cell r="A1523">
            <v>4542</v>
          </cell>
          <cell r="B1523" t="str">
            <v>Moyen</v>
          </cell>
          <cell r="D1523" t="str">
            <v>*</v>
          </cell>
          <cell r="F1523">
            <v>1</v>
          </cell>
          <cell r="G1523">
            <v>0</v>
          </cell>
          <cell r="H1523">
            <v>0</v>
          </cell>
        </row>
        <row r="1524">
          <cell r="A1524">
            <v>4543</v>
          </cell>
          <cell r="B1524" t="str">
            <v>Moyen</v>
          </cell>
          <cell r="D1524" t="str">
            <v>*</v>
          </cell>
          <cell r="F1524">
            <v>1</v>
          </cell>
          <cell r="G1524">
            <v>0</v>
          </cell>
          <cell r="H1524">
            <v>0</v>
          </cell>
        </row>
        <row r="1525">
          <cell r="A1525">
            <v>4544</v>
          </cell>
          <cell r="B1525" t="str">
            <v>Moyen</v>
          </cell>
          <cell r="D1525" t="str">
            <v>*</v>
          </cell>
          <cell r="F1525">
            <v>1</v>
          </cell>
          <cell r="G1525">
            <v>0</v>
          </cell>
          <cell r="H1525">
            <v>0</v>
          </cell>
        </row>
        <row r="1526">
          <cell r="A1526">
            <v>4545</v>
          </cell>
          <cell r="B1526" t="str">
            <v>Moyen</v>
          </cell>
          <cell r="D1526" t="str">
            <v>*</v>
          </cell>
          <cell r="F1526">
            <v>1</v>
          </cell>
          <cell r="G1526">
            <v>0</v>
          </cell>
          <cell r="H1526">
            <v>0</v>
          </cell>
        </row>
        <row r="1527">
          <cell r="A1527">
            <v>4546</v>
          </cell>
          <cell r="B1527" t="str">
            <v>Moyen</v>
          </cell>
          <cell r="D1527" t="str">
            <v>*</v>
          </cell>
          <cell r="F1527">
            <v>1</v>
          </cell>
          <cell r="G1527">
            <v>0</v>
          </cell>
          <cell r="H1527">
            <v>0</v>
          </cell>
        </row>
        <row r="1528">
          <cell r="A1528">
            <v>4547</v>
          </cell>
          <cell r="B1528" t="str">
            <v>Moyen</v>
          </cell>
          <cell r="D1528" t="str">
            <v>*</v>
          </cell>
          <cell r="F1528">
            <v>1</v>
          </cell>
          <cell r="G1528">
            <v>0</v>
          </cell>
          <cell r="H1528">
            <v>0</v>
          </cell>
        </row>
        <row r="1529">
          <cell r="A1529">
            <v>4548</v>
          </cell>
          <cell r="B1529" t="str">
            <v>Moyen</v>
          </cell>
          <cell r="D1529" t="str">
            <v>*</v>
          </cell>
          <cell r="F1529">
            <v>1</v>
          </cell>
          <cell r="G1529">
            <v>0</v>
          </cell>
          <cell r="H1529">
            <v>0</v>
          </cell>
        </row>
        <row r="1530">
          <cell r="A1530">
            <v>4549</v>
          </cell>
          <cell r="B1530" t="str">
            <v>Moyen</v>
          </cell>
          <cell r="D1530" t="str">
            <v>*</v>
          </cell>
          <cell r="F1530">
            <v>1</v>
          </cell>
          <cell r="G1530">
            <v>0</v>
          </cell>
          <cell r="H1530">
            <v>4059156.5612242902</v>
          </cell>
        </row>
        <row r="1531">
          <cell r="A1531">
            <v>4550</v>
          </cell>
          <cell r="B1531" t="str">
            <v>Moyen</v>
          </cell>
          <cell r="D1531" t="str">
            <v>*</v>
          </cell>
          <cell r="F1531">
            <v>1</v>
          </cell>
          <cell r="G1531">
            <v>0</v>
          </cell>
          <cell r="H1531">
            <v>27976</v>
          </cell>
        </row>
        <row r="1532">
          <cell r="A1532">
            <v>4555</v>
          </cell>
          <cell r="B1532" t="str">
            <v>Moyen</v>
          </cell>
          <cell r="D1532" t="str">
            <v>*</v>
          </cell>
          <cell r="F1532">
            <v>1</v>
          </cell>
          <cell r="G1532">
            <v>0</v>
          </cell>
          <cell r="H1532">
            <v>220669.51694369299</v>
          </cell>
        </row>
        <row r="1533">
          <cell r="A1533">
            <v>4556</v>
          </cell>
          <cell r="B1533" t="str">
            <v>Moyen</v>
          </cell>
          <cell r="D1533" t="str">
            <v>*</v>
          </cell>
          <cell r="F1533">
            <v>1</v>
          </cell>
          <cell r="G1533">
            <v>0</v>
          </cell>
          <cell r="H1533">
            <v>0</v>
          </cell>
        </row>
        <row r="1534">
          <cell r="A1534">
            <v>4557</v>
          </cell>
          <cell r="B1534" t="str">
            <v>Moyen</v>
          </cell>
          <cell r="D1534" t="str">
            <v>*</v>
          </cell>
          <cell r="F1534">
            <v>1</v>
          </cell>
          <cell r="G1534">
            <v>0</v>
          </cell>
          <cell r="H1534">
            <v>0</v>
          </cell>
        </row>
        <row r="1535">
          <cell r="A1535">
            <v>4558</v>
          </cell>
          <cell r="B1535" t="str">
            <v>Moyen</v>
          </cell>
          <cell r="D1535" t="str">
            <v>*</v>
          </cell>
          <cell r="F1535">
            <v>1</v>
          </cell>
          <cell r="G1535">
            <v>0</v>
          </cell>
          <cell r="H1535">
            <v>0</v>
          </cell>
        </row>
        <row r="1536">
          <cell r="A1536">
            <v>4559</v>
          </cell>
          <cell r="B1536" t="str">
            <v>Moyen</v>
          </cell>
          <cell r="D1536" t="str">
            <v>*</v>
          </cell>
          <cell r="F1536">
            <v>1</v>
          </cell>
          <cell r="G1536">
            <v>0</v>
          </cell>
          <cell r="H1536">
            <v>0</v>
          </cell>
        </row>
        <row r="1537">
          <cell r="A1537">
            <v>4560</v>
          </cell>
          <cell r="B1537" t="str">
            <v>Moyen</v>
          </cell>
          <cell r="D1537" t="str">
            <v>*</v>
          </cell>
          <cell r="F1537">
            <v>1</v>
          </cell>
          <cell r="G1537">
            <v>0</v>
          </cell>
          <cell r="H1537">
            <v>0</v>
          </cell>
        </row>
        <row r="1538">
          <cell r="A1538">
            <v>4563</v>
          </cell>
          <cell r="B1538" t="str">
            <v>Moyen</v>
          </cell>
          <cell r="D1538" t="str">
            <v>*</v>
          </cell>
          <cell r="F1538">
            <v>1</v>
          </cell>
          <cell r="G1538">
            <v>0</v>
          </cell>
          <cell r="H1538">
            <v>0</v>
          </cell>
        </row>
        <row r="1539">
          <cell r="A1539">
            <v>4564</v>
          </cell>
          <cell r="B1539" t="str">
            <v>Moyen</v>
          </cell>
          <cell r="D1539" t="str">
            <v>*</v>
          </cell>
          <cell r="F1539">
            <v>1</v>
          </cell>
          <cell r="G1539">
            <v>0</v>
          </cell>
          <cell r="H1539">
            <v>0</v>
          </cell>
        </row>
        <row r="1540">
          <cell r="A1540">
            <v>4565</v>
          </cell>
          <cell r="B1540" t="str">
            <v>Moyen</v>
          </cell>
          <cell r="D1540" t="str">
            <v>*</v>
          </cell>
          <cell r="F1540">
            <v>1</v>
          </cell>
          <cell r="G1540">
            <v>0</v>
          </cell>
          <cell r="H1540">
            <v>30361</v>
          </cell>
        </row>
        <row r="1541">
          <cell r="A1541">
            <v>4566</v>
          </cell>
          <cell r="B1541" t="str">
            <v>Moyen</v>
          </cell>
          <cell r="D1541" t="str">
            <v>*</v>
          </cell>
          <cell r="F1541">
            <v>1</v>
          </cell>
          <cell r="G1541">
            <v>0</v>
          </cell>
          <cell r="H1541">
            <v>6406.25</v>
          </cell>
        </row>
        <row r="1542">
          <cell r="A1542">
            <v>4567</v>
          </cell>
          <cell r="B1542" t="str">
            <v>Moyen</v>
          </cell>
          <cell r="D1542" t="str">
            <v>*</v>
          </cell>
          <cell r="F1542">
            <v>1</v>
          </cell>
          <cell r="G1542">
            <v>0</v>
          </cell>
          <cell r="H1542">
            <v>0</v>
          </cell>
        </row>
        <row r="1543">
          <cell r="A1543">
            <v>4568</v>
          </cell>
          <cell r="B1543" t="str">
            <v>Moyen</v>
          </cell>
          <cell r="D1543" t="str">
            <v>*</v>
          </cell>
          <cell r="F1543">
            <v>1</v>
          </cell>
          <cell r="G1543">
            <v>0</v>
          </cell>
          <cell r="H1543">
            <v>0</v>
          </cell>
        </row>
        <row r="1544">
          <cell r="A1544">
            <v>4569</v>
          </cell>
          <cell r="B1544" t="str">
            <v>Moyen</v>
          </cell>
          <cell r="D1544" t="str">
            <v>*</v>
          </cell>
          <cell r="F1544">
            <v>1</v>
          </cell>
          <cell r="G1544">
            <v>0</v>
          </cell>
          <cell r="H1544">
            <v>0</v>
          </cell>
        </row>
        <row r="1545">
          <cell r="A1545">
            <v>4570</v>
          </cell>
          <cell r="B1545" t="str">
            <v>Moyen</v>
          </cell>
          <cell r="D1545" t="str">
            <v>*</v>
          </cell>
          <cell r="F1545">
            <v>1</v>
          </cell>
          <cell r="G1545">
            <v>0</v>
          </cell>
          <cell r="H1545">
            <v>162386</v>
          </cell>
        </row>
        <row r="1546">
          <cell r="A1546">
            <v>4571</v>
          </cell>
          <cell r="B1546" t="str">
            <v>Moyen</v>
          </cell>
          <cell r="D1546" t="str">
            <v>*</v>
          </cell>
          <cell r="F1546">
            <v>1</v>
          </cell>
          <cell r="G1546">
            <v>0</v>
          </cell>
          <cell r="H1546">
            <v>0</v>
          </cell>
        </row>
        <row r="1547">
          <cell r="A1547">
            <v>4572</v>
          </cell>
          <cell r="B1547" t="str">
            <v>Moyen</v>
          </cell>
          <cell r="D1547" t="str">
            <v>*</v>
          </cell>
          <cell r="F1547">
            <v>1</v>
          </cell>
          <cell r="G1547">
            <v>0</v>
          </cell>
          <cell r="H1547">
            <v>0</v>
          </cell>
        </row>
        <row r="1548">
          <cell r="A1548">
            <v>4573</v>
          </cell>
          <cell r="B1548" t="str">
            <v>Moyen</v>
          </cell>
          <cell r="D1548" t="str">
            <v>*</v>
          </cell>
          <cell r="F1548">
            <v>1</v>
          </cell>
          <cell r="G1548">
            <v>0</v>
          </cell>
          <cell r="H1548">
            <v>0</v>
          </cell>
        </row>
        <row r="1549">
          <cell r="A1549">
            <v>4574</v>
          </cell>
          <cell r="B1549" t="str">
            <v>Moyen</v>
          </cell>
          <cell r="D1549" t="str">
            <v>*</v>
          </cell>
          <cell r="F1549">
            <v>1</v>
          </cell>
          <cell r="G1549">
            <v>0</v>
          </cell>
          <cell r="H1549">
            <v>0</v>
          </cell>
        </row>
        <row r="1550">
          <cell r="A1550">
            <v>4575</v>
          </cell>
          <cell r="B1550" t="str">
            <v>Moyen</v>
          </cell>
          <cell r="D1550" t="str">
            <v>*</v>
          </cell>
          <cell r="F1550">
            <v>1</v>
          </cell>
          <cell r="G1550">
            <v>0</v>
          </cell>
          <cell r="H1550">
            <v>3300</v>
          </cell>
        </row>
        <row r="1551">
          <cell r="A1551">
            <v>4576</v>
          </cell>
          <cell r="B1551" t="str">
            <v>Moyen</v>
          </cell>
          <cell r="D1551" t="str">
            <v>*</v>
          </cell>
          <cell r="F1551">
            <v>1</v>
          </cell>
          <cell r="G1551">
            <v>0</v>
          </cell>
          <cell r="H1551">
            <v>0</v>
          </cell>
        </row>
        <row r="1552">
          <cell r="A1552">
            <v>4577</v>
          </cell>
          <cell r="B1552" t="str">
            <v>Moyen</v>
          </cell>
          <cell r="D1552" t="str">
            <v>*</v>
          </cell>
          <cell r="F1552">
            <v>1</v>
          </cell>
          <cell r="G1552">
            <v>0</v>
          </cell>
          <cell r="H1552">
            <v>0</v>
          </cell>
        </row>
        <row r="1553">
          <cell r="A1553">
            <v>4578</v>
          </cell>
          <cell r="B1553" t="str">
            <v>Moyen</v>
          </cell>
          <cell r="D1553" t="str">
            <v>*</v>
          </cell>
          <cell r="F1553">
            <v>1</v>
          </cell>
          <cell r="G1553">
            <v>0</v>
          </cell>
          <cell r="H1553">
            <v>0</v>
          </cell>
        </row>
        <row r="1554">
          <cell r="A1554">
            <v>4579</v>
          </cell>
          <cell r="B1554" t="str">
            <v>Moyen</v>
          </cell>
          <cell r="D1554" t="str">
            <v>*</v>
          </cell>
          <cell r="F1554">
            <v>1</v>
          </cell>
          <cell r="G1554">
            <v>0</v>
          </cell>
          <cell r="H1554">
            <v>0</v>
          </cell>
        </row>
        <row r="1555">
          <cell r="A1555">
            <v>4580</v>
          </cell>
          <cell r="B1555" t="str">
            <v>Moyen</v>
          </cell>
          <cell r="D1555" t="str">
            <v>*</v>
          </cell>
          <cell r="F1555">
            <v>1</v>
          </cell>
          <cell r="G1555">
            <v>0</v>
          </cell>
          <cell r="H1555">
            <v>0</v>
          </cell>
        </row>
        <row r="1556">
          <cell r="A1556">
            <v>4581</v>
          </cell>
          <cell r="B1556" t="str">
            <v>Moyen</v>
          </cell>
          <cell r="D1556" t="str">
            <v>*</v>
          </cell>
          <cell r="F1556">
            <v>1</v>
          </cell>
          <cell r="G1556">
            <v>0</v>
          </cell>
          <cell r="H1556">
            <v>0</v>
          </cell>
        </row>
        <row r="1557">
          <cell r="A1557">
            <v>4588</v>
          </cell>
          <cell r="B1557" t="str">
            <v>Moyen</v>
          </cell>
          <cell r="D1557" t="str">
            <v>*</v>
          </cell>
          <cell r="F1557">
            <v>1</v>
          </cell>
          <cell r="G1557">
            <v>0</v>
          </cell>
          <cell r="H1557">
            <v>715690.90006989497</v>
          </cell>
        </row>
        <row r="1558">
          <cell r="A1558">
            <v>4589</v>
          </cell>
          <cell r="B1558" t="str">
            <v>Moyen</v>
          </cell>
          <cell r="D1558" t="str">
            <v>*</v>
          </cell>
          <cell r="F1558">
            <v>1</v>
          </cell>
          <cell r="G1558">
            <v>0</v>
          </cell>
          <cell r="H1558">
            <v>0</v>
          </cell>
        </row>
        <row r="1559">
          <cell r="A1559">
            <v>4592</v>
          </cell>
          <cell r="B1559" t="str">
            <v>Moyen</v>
          </cell>
          <cell r="D1559" t="str">
            <v>*</v>
          </cell>
          <cell r="F1559">
            <v>1</v>
          </cell>
          <cell r="G1559">
            <v>0</v>
          </cell>
          <cell r="H1559">
            <v>0</v>
          </cell>
        </row>
        <row r="1560">
          <cell r="A1560">
            <v>4593</v>
          </cell>
          <cell r="B1560" t="str">
            <v>Moyen</v>
          </cell>
          <cell r="D1560" t="str">
            <v>*</v>
          </cell>
          <cell r="F1560">
            <v>1</v>
          </cell>
          <cell r="G1560">
            <v>0</v>
          </cell>
          <cell r="H1560">
            <v>0</v>
          </cell>
        </row>
        <row r="1561">
          <cell r="A1561">
            <v>4594</v>
          </cell>
          <cell r="B1561" t="str">
            <v>Moyen</v>
          </cell>
          <cell r="D1561" t="str">
            <v>*</v>
          </cell>
          <cell r="F1561">
            <v>1</v>
          </cell>
          <cell r="G1561">
            <v>0</v>
          </cell>
          <cell r="H1561">
            <v>0</v>
          </cell>
        </row>
        <row r="1562">
          <cell r="A1562">
            <v>4595</v>
          </cell>
          <cell r="B1562" t="str">
            <v>Moyen</v>
          </cell>
          <cell r="D1562" t="str">
            <v>*</v>
          </cell>
          <cell r="F1562">
            <v>1</v>
          </cell>
          <cell r="G1562">
            <v>0</v>
          </cell>
          <cell r="H1562">
            <v>0</v>
          </cell>
        </row>
        <row r="1563">
          <cell r="A1563">
            <v>4596</v>
          </cell>
          <cell r="B1563" t="str">
            <v>Moyen</v>
          </cell>
          <cell r="D1563" t="str">
            <v>*</v>
          </cell>
          <cell r="F1563">
            <v>1</v>
          </cell>
          <cell r="G1563">
            <v>0</v>
          </cell>
          <cell r="H1563">
            <v>0</v>
          </cell>
        </row>
        <row r="1564">
          <cell r="A1564">
            <v>4597</v>
          </cell>
          <cell r="B1564" t="str">
            <v>Moyen</v>
          </cell>
          <cell r="D1564" t="str">
            <v>*</v>
          </cell>
          <cell r="F1564">
            <v>1</v>
          </cell>
          <cell r="G1564">
            <v>0</v>
          </cell>
          <cell r="H1564">
            <v>0</v>
          </cell>
        </row>
        <row r="1565">
          <cell r="A1565">
            <v>4598</v>
          </cell>
          <cell r="B1565" t="str">
            <v>Moyen</v>
          </cell>
          <cell r="D1565" t="str">
            <v>*</v>
          </cell>
          <cell r="F1565">
            <v>1</v>
          </cell>
          <cell r="G1565">
            <v>0</v>
          </cell>
          <cell r="H1565">
            <v>0</v>
          </cell>
        </row>
        <row r="1566">
          <cell r="A1566">
            <v>4599</v>
          </cell>
          <cell r="B1566" t="str">
            <v>Moyen</v>
          </cell>
          <cell r="D1566" t="str">
            <v>*</v>
          </cell>
          <cell r="F1566">
            <v>1</v>
          </cell>
          <cell r="G1566">
            <v>0</v>
          </cell>
          <cell r="H1566">
            <v>0</v>
          </cell>
        </row>
        <row r="1567">
          <cell r="A1567">
            <v>4600</v>
          </cell>
          <cell r="B1567" t="str">
            <v>Moyen</v>
          </cell>
          <cell r="D1567" t="str">
            <v>*</v>
          </cell>
          <cell r="F1567">
            <v>1</v>
          </cell>
          <cell r="G1567">
            <v>0</v>
          </cell>
          <cell r="H1567">
            <v>0</v>
          </cell>
        </row>
        <row r="1568">
          <cell r="A1568">
            <v>4601</v>
          </cell>
          <cell r="B1568" t="str">
            <v>Moyen</v>
          </cell>
          <cell r="D1568" t="str">
            <v>*</v>
          </cell>
          <cell r="F1568">
            <v>1</v>
          </cell>
          <cell r="G1568">
            <v>0</v>
          </cell>
          <cell r="H1568">
            <v>0</v>
          </cell>
        </row>
        <row r="1569">
          <cell r="A1569">
            <v>4603</v>
          </cell>
          <cell r="B1569" t="str">
            <v>Moyen</v>
          </cell>
          <cell r="D1569" t="str">
            <v>*</v>
          </cell>
          <cell r="F1569">
            <v>1</v>
          </cell>
          <cell r="G1569">
            <v>0</v>
          </cell>
          <cell r="H1569">
            <v>0</v>
          </cell>
        </row>
        <row r="1570">
          <cell r="A1570">
            <v>4604</v>
          </cell>
          <cell r="B1570" t="str">
            <v>Moyen</v>
          </cell>
          <cell r="D1570" t="str">
            <v>*</v>
          </cell>
          <cell r="F1570">
            <v>1</v>
          </cell>
          <cell r="G1570">
            <v>0</v>
          </cell>
          <cell r="H1570">
            <v>0</v>
          </cell>
        </row>
        <row r="1571">
          <cell r="A1571">
            <v>4605</v>
          </cell>
          <cell r="B1571" t="str">
            <v>Moyen</v>
          </cell>
          <cell r="D1571" t="str">
            <v>*</v>
          </cell>
          <cell r="F1571">
            <v>1</v>
          </cell>
          <cell r="G1571">
            <v>0</v>
          </cell>
          <cell r="H1571">
            <v>0</v>
          </cell>
        </row>
        <row r="1572">
          <cell r="A1572">
            <v>4606</v>
          </cell>
          <cell r="B1572" t="str">
            <v>Moyen</v>
          </cell>
          <cell r="D1572" t="str">
            <v>*</v>
          </cell>
          <cell r="F1572">
            <v>1</v>
          </cell>
          <cell r="G1572">
            <v>0</v>
          </cell>
          <cell r="H1572">
            <v>0</v>
          </cell>
        </row>
        <row r="1573">
          <cell r="A1573">
            <v>4607</v>
          </cell>
          <cell r="B1573" t="str">
            <v>Moyen</v>
          </cell>
          <cell r="D1573" t="str">
            <v>*</v>
          </cell>
          <cell r="F1573">
            <v>1</v>
          </cell>
          <cell r="G1573">
            <v>0</v>
          </cell>
          <cell r="H1573">
            <v>0</v>
          </cell>
        </row>
        <row r="1574">
          <cell r="A1574">
            <v>4609</v>
          </cell>
          <cell r="B1574" t="str">
            <v>Moyen</v>
          </cell>
          <cell r="D1574" t="str">
            <v>*</v>
          </cell>
          <cell r="F1574">
            <v>1</v>
          </cell>
          <cell r="G1574">
            <v>0</v>
          </cell>
          <cell r="H1574">
            <v>10266</v>
          </cell>
        </row>
        <row r="1575">
          <cell r="A1575">
            <v>4610</v>
          </cell>
          <cell r="B1575" t="str">
            <v>Moyen</v>
          </cell>
          <cell r="D1575" t="str">
            <v>*</v>
          </cell>
          <cell r="F1575">
            <v>1</v>
          </cell>
          <cell r="G1575">
            <v>0</v>
          </cell>
          <cell r="H1575">
            <v>2361</v>
          </cell>
        </row>
        <row r="1576">
          <cell r="A1576">
            <v>4612</v>
          </cell>
          <cell r="B1576" t="str">
            <v>Moyen</v>
          </cell>
          <cell r="D1576" t="str">
            <v>*</v>
          </cell>
          <cell r="F1576">
            <v>1</v>
          </cell>
          <cell r="G1576">
            <v>0</v>
          </cell>
          <cell r="H1576">
            <v>0</v>
          </cell>
        </row>
        <row r="1577">
          <cell r="A1577">
            <v>4613</v>
          </cell>
          <cell r="B1577" t="str">
            <v>Moyen</v>
          </cell>
          <cell r="D1577" t="str">
            <v>*</v>
          </cell>
          <cell r="F1577">
            <v>1</v>
          </cell>
          <cell r="G1577">
            <v>0</v>
          </cell>
          <cell r="H1577">
            <v>0</v>
          </cell>
        </row>
        <row r="1578">
          <cell r="A1578">
            <v>4614</v>
          </cell>
          <cell r="B1578" t="str">
            <v>Moyen</v>
          </cell>
          <cell r="D1578" t="str">
            <v>*</v>
          </cell>
          <cell r="F1578">
            <v>1</v>
          </cell>
          <cell r="G1578">
            <v>0</v>
          </cell>
          <cell r="H1578">
            <v>0</v>
          </cell>
        </row>
        <row r="1579">
          <cell r="A1579">
            <v>4635</v>
          </cell>
          <cell r="B1579" t="str">
            <v>Moyen</v>
          </cell>
          <cell r="D1579" t="str">
            <v>*</v>
          </cell>
          <cell r="F1579">
            <v>1</v>
          </cell>
          <cell r="G1579">
            <v>0</v>
          </cell>
          <cell r="H1579">
            <v>229584.95</v>
          </cell>
        </row>
        <row r="1580">
          <cell r="A1580">
            <v>4636</v>
          </cell>
          <cell r="B1580" t="str">
            <v>Moyen</v>
          </cell>
          <cell r="D1580" t="str">
            <v>*</v>
          </cell>
          <cell r="F1580">
            <v>1</v>
          </cell>
          <cell r="G1580">
            <v>0</v>
          </cell>
          <cell r="H1580">
            <v>0</v>
          </cell>
        </row>
        <row r="1581">
          <cell r="A1581">
            <v>4637</v>
          </cell>
          <cell r="B1581" t="str">
            <v>Moyen</v>
          </cell>
          <cell r="D1581" t="str">
            <v>*</v>
          </cell>
          <cell r="F1581">
            <v>1</v>
          </cell>
          <cell r="G1581">
            <v>0</v>
          </cell>
          <cell r="H1581">
            <v>159814.97818181801</v>
          </cell>
        </row>
        <row r="1582">
          <cell r="A1582">
            <v>4638</v>
          </cell>
          <cell r="B1582" t="str">
            <v>Moyen</v>
          </cell>
          <cell r="D1582" t="str">
            <v>*</v>
          </cell>
          <cell r="F1582">
            <v>1</v>
          </cell>
          <cell r="G1582">
            <v>0</v>
          </cell>
          <cell r="H1582">
            <v>0</v>
          </cell>
        </row>
        <row r="1583">
          <cell r="A1583">
            <v>4639</v>
          </cell>
          <cell r="B1583" t="str">
            <v>Moyen</v>
          </cell>
          <cell r="D1583" t="str">
            <v>*</v>
          </cell>
          <cell r="F1583">
            <v>1</v>
          </cell>
          <cell r="G1583">
            <v>0</v>
          </cell>
          <cell r="H1583">
            <v>0</v>
          </cell>
        </row>
        <row r="1584">
          <cell r="A1584">
            <v>4640</v>
          </cell>
          <cell r="B1584" t="str">
            <v>Moyen</v>
          </cell>
          <cell r="D1584" t="str">
            <v>*</v>
          </cell>
          <cell r="F1584">
            <v>1</v>
          </cell>
          <cell r="G1584">
            <v>0</v>
          </cell>
          <cell r="H1584">
            <v>0</v>
          </cell>
        </row>
        <row r="1585">
          <cell r="A1585">
            <v>4641</v>
          </cell>
          <cell r="B1585" t="str">
            <v>Moyen</v>
          </cell>
          <cell r="D1585" t="str">
            <v>*</v>
          </cell>
          <cell r="F1585">
            <v>1</v>
          </cell>
          <cell r="G1585">
            <v>0</v>
          </cell>
          <cell r="H1585">
            <v>198103</v>
          </cell>
        </row>
        <row r="1586">
          <cell r="A1586">
            <v>4642</v>
          </cell>
          <cell r="B1586" t="str">
            <v>Moyen</v>
          </cell>
          <cell r="D1586" t="str">
            <v>*</v>
          </cell>
          <cell r="F1586">
            <v>1</v>
          </cell>
          <cell r="G1586">
            <v>0</v>
          </cell>
          <cell r="H1586">
            <v>0</v>
          </cell>
        </row>
        <row r="1587">
          <cell r="A1587">
            <v>4643</v>
          </cell>
          <cell r="B1587" t="str">
            <v>Moyen</v>
          </cell>
          <cell r="D1587" t="str">
            <v>*</v>
          </cell>
          <cell r="F1587">
            <v>1</v>
          </cell>
          <cell r="G1587">
            <v>0</v>
          </cell>
          <cell r="H1587">
            <v>2314</v>
          </cell>
        </row>
        <row r="1588">
          <cell r="A1588">
            <v>4644</v>
          </cell>
          <cell r="B1588" t="str">
            <v>Moyen</v>
          </cell>
          <cell r="D1588" t="str">
            <v>*</v>
          </cell>
          <cell r="F1588">
            <v>1</v>
          </cell>
          <cell r="G1588">
            <v>0</v>
          </cell>
          <cell r="H1588">
            <v>672</v>
          </cell>
        </row>
        <row r="1589">
          <cell r="A1589">
            <v>4645</v>
          </cell>
          <cell r="B1589" t="str">
            <v>Moyen</v>
          </cell>
          <cell r="D1589" t="str">
            <v>*</v>
          </cell>
          <cell r="F1589">
            <v>1</v>
          </cell>
          <cell r="G1589">
            <v>0</v>
          </cell>
          <cell r="H1589">
            <v>0</v>
          </cell>
        </row>
        <row r="1590">
          <cell r="A1590">
            <v>4646</v>
          </cell>
          <cell r="B1590" t="str">
            <v>Moyen</v>
          </cell>
          <cell r="D1590" t="str">
            <v>*</v>
          </cell>
          <cell r="F1590">
            <v>1</v>
          </cell>
          <cell r="G1590">
            <v>0</v>
          </cell>
          <cell r="H1590">
            <v>0</v>
          </cell>
        </row>
        <row r="1591">
          <cell r="A1591">
            <v>4655</v>
          </cell>
          <cell r="B1591" t="str">
            <v>Moyen</v>
          </cell>
          <cell r="D1591" t="str">
            <v>*</v>
          </cell>
          <cell r="F1591">
            <v>1</v>
          </cell>
          <cell r="G1591">
            <v>0</v>
          </cell>
          <cell r="H1591">
            <v>0</v>
          </cell>
        </row>
        <row r="1592">
          <cell r="A1592">
            <v>4656</v>
          </cell>
          <cell r="B1592" t="str">
            <v>Moyen</v>
          </cell>
          <cell r="D1592" t="str">
            <v>*</v>
          </cell>
          <cell r="F1592">
            <v>1</v>
          </cell>
          <cell r="G1592">
            <v>0</v>
          </cell>
          <cell r="H1592">
            <v>507317.14380000002</v>
          </cell>
        </row>
        <row r="1593">
          <cell r="A1593">
            <v>4660</v>
          </cell>
          <cell r="B1593" t="str">
            <v>Moyen</v>
          </cell>
          <cell r="D1593" t="str">
            <v>*</v>
          </cell>
          <cell r="F1593">
            <v>1</v>
          </cell>
          <cell r="G1593">
            <v>0</v>
          </cell>
          <cell r="H1593">
            <v>443656</v>
          </cell>
        </row>
        <row r="1594">
          <cell r="A1594">
            <v>4661</v>
          </cell>
          <cell r="B1594" t="str">
            <v>Moyen</v>
          </cell>
          <cell r="D1594" t="str">
            <v>*</v>
          </cell>
          <cell r="F1594">
            <v>1</v>
          </cell>
          <cell r="G1594">
            <v>0</v>
          </cell>
          <cell r="H1594">
            <v>0</v>
          </cell>
        </row>
        <row r="1595">
          <cell r="A1595">
            <v>4662</v>
          </cell>
          <cell r="B1595" t="str">
            <v>Moyen</v>
          </cell>
          <cell r="D1595" t="str">
            <v>*</v>
          </cell>
          <cell r="F1595">
            <v>1</v>
          </cell>
          <cell r="G1595">
            <v>0</v>
          </cell>
          <cell r="H1595">
            <v>3938</v>
          </cell>
        </row>
        <row r="1596">
          <cell r="A1596">
            <v>4663</v>
          </cell>
          <cell r="B1596" t="str">
            <v>Moyen</v>
          </cell>
          <cell r="D1596" t="str">
            <v>*</v>
          </cell>
          <cell r="F1596">
            <v>1</v>
          </cell>
          <cell r="G1596">
            <v>0</v>
          </cell>
          <cell r="H1596">
            <v>231</v>
          </cell>
        </row>
        <row r="1597">
          <cell r="A1597">
            <v>4664</v>
          </cell>
          <cell r="B1597" t="str">
            <v>Moyen</v>
          </cell>
          <cell r="D1597" t="str">
            <v>*</v>
          </cell>
          <cell r="F1597">
            <v>1</v>
          </cell>
          <cell r="G1597">
            <v>0</v>
          </cell>
          <cell r="H1597">
            <v>0</v>
          </cell>
        </row>
        <row r="1598">
          <cell r="A1598">
            <v>4665</v>
          </cell>
          <cell r="B1598" t="str">
            <v>Moyen</v>
          </cell>
          <cell r="D1598" t="str">
            <v>*</v>
          </cell>
          <cell r="F1598">
            <v>1</v>
          </cell>
          <cell r="G1598">
            <v>0</v>
          </cell>
          <cell r="H1598">
            <v>0</v>
          </cell>
        </row>
        <row r="1599">
          <cell r="A1599">
            <v>4666</v>
          </cell>
          <cell r="B1599" t="str">
            <v>Moyen</v>
          </cell>
          <cell r="D1599" t="str">
            <v>*</v>
          </cell>
          <cell r="F1599">
            <v>1</v>
          </cell>
          <cell r="G1599">
            <v>0</v>
          </cell>
          <cell r="H1599">
            <v>0</v>
          </cell>
        </row>
        <row r="1600">
          <cell r="A1600">
            <v>4667</v>
          </cell>
          <cell r="B1600" t="str">
            <v>Moyen</v>
          </cell>
          <cell r="D1600" t="str">
            <v>*</v>
          </cell>
          <cell r="F1600">
            <v>1</v>
          </cell>
          <cell r="G1600">
            <v>0</v>
          </cell>
          <cell r="H1600">
            <v>0</v>
          </cell>
        </row>
        <row r="1601">
          <cell r="A1601">
            <v>4670</v>
          </cell>
          <cell r="B1601" t="str">
            <v>Moyen</v>
          </cell>
          <cell r="D1601" t="str">
            <v>*</v>
          </cell>
          <cell r="F1601">
            <v>1</v>
          </cell>
          <cell r="G1601">
            <v>0</v>
          </cell>
          <cell r="H1601">
            <v>0</v>
          </cell>
        </row>
        <row r="1602">
          <cell r="A1602">
            <v>4673</v>
          </cell>
          <cell r="B1602" t="str">
            <v>Moyen</v>
          </cell>
          <cell r="D1602" t="str">
            <v>*</v>
          </cell>
          <cell r="F1602">
            <v>1</v>
          </cell>
          <cell r="G1602">
            <v>0</v>
          </cell>
          <cell r="H1602">
            <v>0</v>
          </cell>
        </row>
        <row r="1603">
          <cell r="A1603">
            <v>4674</v>
          </cell>
          <cell r="B1603" t="str">
            <v>Moyen</v>
          </cell>
          <cell r="D1603" t="str">
            <v>*</v>
          </cell>
          <cell r="F1603">
            <v>1</v>
          </cell>
          <cell r="G1603">
            <v>0</v>
          </cell>
          <cell r="H1603">
            <v>0</v>
          </cell>
        </row>
        <row r="1604">
          <cell r="A1604">
            <v>4675</v>
          </cell>
          <cell r="B1604" t="str">
            <v>Moyen</v>
          </cell>
          <cell r="D1604" t="str">
            <v>*</v>
          </cell>
          <cell r="F1604">
            <v>1</v>
          </cell>
          <cell r="G1604">
            <v>0</v>
          </cell>
          <cell r="H1604">
            <v>0</v>
          </cell>
        </row>
        <row r="1605">
          <cell r="A1605">
            <v>4676</v>
          </cell>
          <cell r="B1605" t="str">
            <v>Moyen</v>
          </cell>
          <cell r="D1605" t="str">
            <v>*</v>
          </cell>
          <cell r="F1605">
            <v>1</v>
          </cell>
          <cell r="G1605">
            <v>0</v>
          </cell>
          <cell r="H1605">
            <v>499990</v>
          </cell>
        </row>
        <row r="1606">
          <cell r="A1606">
            <v>4677</v>
          </cell>
          <cell r="B1606" t="str">
            <v>Moyen</v>
          </cell>
          <cell r="D1606" t="str">
            <v>*</v>
          </cell>
          <cell r="F1606">
            <v>1</v>
          </cell>
          <cell r="G1606">
            <v>0</v>
          </cell>
          <cell r="H1606">
            <v>0</v>
          </cell>
        </row>
        <row r="1607">
          <cell r="A1607">
            <v>4678</v>
          </cell>
          <cell r="B1607" t="str">
            <v>Moyen</v>
          </cell>
          <cell r="D1607" t="str">
            <v>*</v>
          </cell>
          <cell r="F1607">
            <v>1</v>
          </cell>
          <cell r="G1607">
            <v>0</v>
          </cell>
          <cell r="H1607">
            <v>0</v>
          </cell>
        </row>
        <row r="1608">
          <cell r="A1608">
            <v>4679</v>
          </cell>
          <cell r="B1608" t="str">
            <v>Moyen</v>
          </cell>
          <cell r="D1608" t="str">
            <v>*</v>
          </cell>
          <cell r="F1608">
            <v>1</v>
          </cell>
          <cell r="G1608">
            <v>0</v>
          </cell>
          <cell r="H1608">
            <v>0</v>
          </cell>
        </row>
        <row r="1609">
          <cell r="A1609">
            <v>4681</v>
          </cell>
          <cell r="B1609" t="str">
            <v>Moyen</v>
          </cell>
          <cell r="D1609" t="str">
            <v>*</v>
          </cell>
          <cell r="F1609">
            <v>1</v>
          </cell>
          <cell r="G1609">
            <v>0</v>
          </cell>
          <cell r="H1609">
            <v>13250</v>
          </cell>
        </row>
        <row r="1610">
          <cell r="A1610">
            <v>4682</v>
          </cell>
          <cell r="B1610" t="str">
            <v>Moyen</v>
          </cell>
          <cell r="D1610" t="str">
            <v>*</v>
          </cell>
          <cell r="F1610">
            <v>1</v>
          </cell>
          <cell r="G1610">
            <v>0</v>
          </cell>
          <cell r="H1610">
            <v>137082.57870744501</v>
          </cell>
        </row>
        <row r="1611">
          <cell r="A1611">
            <v>4683</v>
          </cell>
          <cell r="B1611" t="str">
            <v>Moyen</v>
          </cell>
          <cell r="D1611" t="str">
            <v>*</v>
          </cell>
          <cell r="F1611">
            <v>1</v>
          </cell>
          <cell r="G1611">
            <v>0</v>
          </cell>
          <cell r="H1611">
            <v>120134</v>
          </cell>
        </row>
        <row r="1612">
          <cell r="A1612">
            <v>4684</v>
          </cell>
          <cell r="B1612" t="str">
            <v>Moyen</v>
          </cell>
          <cell r="D1612" t="str">
            <v>*</v>
          </cell>
          <cell r="F1612">
            <v>1</v>
          </cell>
          <cell r="G1612">
            <v>0</v>
          </cell>
          <cell r="H1612">
            <v>0</v>
          </cell>
        </row>
        <row r="1613">
          <cell r="A1613">
            <v>4685</v>
          </cell>
          <cell r="B1613" t="str">
            <v>Moyen</v>
          </cell>
          <cell r="D1613" t="str">
            <v>*</v>
          </cell>
          <cell r="F1613">
            <v>1</v>
          </cell>
          <cell r="G1613">
            <v>0</v>
          </cell>
          <cell r="H1613">
            <v>0</v>
          </cell>
        </row>
        <row r="1614">
          <cell r="A1614">
            <v>4686</v>
          </cell>
          <cell r="B1614" t="str">
            <v>Moyen</v>
          </cell>
          <cell r="D1614" t="str">
            <v>*</v>
          </cell>
          <cell r="F1614">
            <v>1</v>
          </cell>
          <cell r="G1614">
            <v>0</v>
          </cell>
          <cell r="H1614">
            <v>0</v>
          </cell>
        </row>
        <row r="1615">
          <cell r="A1615">
            <v>4687</v>
          </cell>
          <cell r="B1615" t="str">
            <v>Moyen</v>
          </cell>
          <cell r="D1615" t="str">
            <v>*</v>
          </cell>
          <cell r="F1615">
            <v>1</v>
          </cell>
          <cell r="G1615">
            <v>0</v>
          </cell>
          <cell r="H1615">
            <v>0</v>
          </cell>
        </row>
        <row r="1616">
          <cell r="A1616">
            <v>4688</v>
          </cell>
          <cell r="B1616" t="str">
            <v>Moyen</v>
          </cell>
          <cell r="D1616" t="str">
            <v>*</v>
          </cell>
          <cell r="F1616">
            <v>1</v>
          </cell>
          <cell r="G1616">
            <v>0</v>
          </cell>
          <cell r="H1616">
            <v>0</v>
          </cell>
        </row>
        <row r="1617">
          <cell r="A1617">
            <v>4689</v>
          </cell>
          <cell r="B1617" t="str">
            <v>Moyen</v>
          </cell>
          <cell r="D1617" t="str">
            <v>*</v>
          </cell>
          <cell r="F1617">
            <v>1</v>
          </cell>
          <cell r="G1617">
            <v>0</v>
          </cell>
          <cell r="H1617">
            <v>1749299.5730000001</v>
          </cell>
        </row>
        <row r="1618">
          <cell r="A1618">
            <v>4690</v>
          </cell>
          <cell r="B1618" t="str">
            <v>Moyen</v>
          </cell>
          <cell r="D1618" t="str">
            <v>*</v>
          </cell>
          <cell r="F1618">
            <v>1</v>
          </cell>
          <cell r="G1618">
            <v>0</v>
          </cell>
          <cell r="H1618">
            <v>0</v>
          </cell>
        </row>
        <row r="1619">
          <cell r="A1619">
            <v>4691</v>
          </cell>
          <cell r="B1619" t="str">
            <v>Moyen</v>
          </cell>
          <cell r="D1619" t="str">
            <v>*</v>
          </cell>
          <cell r="F1619">
            <v>1</v>
          </cell>
          <cell r="G1619">
            <v>0</v>
          </cell>
          <cell r="H1619">
            <v>0</v>
          </cell>
        </row>
        <row r="1620">
          <cell r="A1620">
            <v>4692</v>
          </cell>
          <cell r="B1620" t="str">
            <v>Moyen</v>
          </cell>
          <cell r="D1620" t="str">
            <v>*</v>
          </cell>
          <cell r="F1620">
            <v>1</v>
          </cell>
          <cell r="G1620">
            <v>0</v>
          </cell>
          <cell r="H1620">
            <v>0</v>
          </cell>
        </row>
        <row r="1621">
          <cell r="A1621">
            <v>4693</v>
          </cell>
          <cell r="B1621" t="str">
            <v>Moyen</v>
          </cell>
          <cell r="D1621" t="str">
            <v>*</v>
          </cell>
          <cell r="F1621">
            <v>1</v>
          </cell>
          <cell r="G1621">
            <v>0</v>
          </cell>
          <cell r="H1621">
            <v>0</v>
          </cell>
        </row>
        <row r="1622">
          <cell r="A1622">
            <v>4694</v>
          </cell>
          <cell r="B1622" t="str">
            <v>Moyen</v>
          </cell>
          <cell r="D1622" t="str">
            <v>*</v>
          </cell>
          <cell r="F1622">
            <v>1</v>
          </cell>
          <cell r="G1622">
            <v>0</v>
          </cell>
          <cell r="H1622">
            <v>0</v>
          </cell>
        </row>
        <row r="1623">
          <cell r="A1623">
            <v>4695</v>
          </cell>
          <cell r="B1623" t="str">
            <v>Moyen</v>
          </cell>
          <cell r="D1623" t="str">
            <v>*</v>
          </cell>
          <cell r="F1623">
            <v>1</v>
          </cell>
          <cell r="G1623">
            <v>0</v>
          </cell>
          <cell r="H1623">
            <v>0</v>
          </cell>
        </row>
        <row r="1624">
          <cell r="A1624">
            <v>4696</v>
          </cell>
          <cell r="B1624" t="str">
            <v>Moyen</v>
          </cell>
          <cell r="D1624" t="str">
            <v>*</v>
          </cell>
          <cell r="F1624">
            <v>1</v>
          </cell>
          <cell r="G1624">
            <v>0</v>
          </cell>
          <cell r="H1624">
            <v>0</v>
          </cell>
        </row>
        <row r="1625">
          <cell r="A1625">
            <v>4697</v>
          </cell>
          <cell r="B1625" t="str">
            <v>Moyen</v>
          </cell>
          <cell r="D1625" t="str">
            <v>*</v>
          </cell>
          <cell r="F1625">
            <v>1</v>
          </cell>
          <cell r="G1625">
            <v>0</v>
          </cell>
          <cell r="H1625">
            <v>0</v>
          </cell>
        </row>
        <row r="1626">
          <cell r="A1626">
            <v>4698</v>
          </cell>
          <cell r="B1626" t="str">
            <v>Moyen</v>
          </cell>
          <cell r="D1626" t="str">
            <v>*</v>
          </cell>
          <cell r="F1626">
            <v>1</v>
          </cell>
          <cell r="G1626">
            <v>0</v>
          </cell>
          <cell r="H1626">
            <v>0</v>
          </cell>
        </row>
        <row r="1627">
          <cell r="A1627">
            <v>4699</v>
          </cell>
          <cell r="B1627" t="str">
            <v>Moyen</v>
          </cell>
          <cell r="D1627" t="str">
            <v>*</v>
          </cell>
          <cell r="F1627">
            <v>1</v>
          </cell>
          <cell r="G1627">
            <v>0</v>
          </cell>
          <cell r="H1627">
            <v>0</v>
          </cell>
        </row>
        <row r="1628">
          <cell r="A1628">
            <v>4700</v>
          </cell>
          <cell r="B1628" t="str">
            <v>Moyen</v>
          </cell>
          <cell r="D1628" t="str">
            <v>*</v>
          </cell>
          <cell r="F1628">
            <v>1</v>
          </cell>
          <cell r="G1628">
            <v>0</v>
          </cell>
          <cell r="H1628">
            <v>0</v>
          </cell>
        </row>
        <row r="1629">
          <cell r="A1629">
            <v>4701</v>
          </cell>
          <cell r="B1629" t="str">
            <v>Moyen</v>
          </cell>
          <cell r="D1629" t="str">
            <v>*</v>
          </cell>
          <cell r="F1629">
            <v>1</v>
          </cell>
          <cell r="G1629">
            <v>0</v>
          </cell>
          <cell r="H1629">
            <v>0</v>
          </cell>
        </row>
        <row r="1630">
          <cell r="A1630">
            <v>4702</v>
          </cell>
          <cell r="B1630" t="str">
            <v>Moyen</v>
          </cell>
          <cell r="D1630" t="str">
            <v>*</v>
          </cell>
          <cell r="F1630">
            <v>1</v>
          </cell>
          <cell r="G1630">
            <v>0</v>
          </cell>
          <cell r="H1630">
            <v>0</v>
          </cell>
        </row>
        <row r="1631">
          <cell r="A1631">
            <v>4703</v>
          </cell>
          <cell r="B1631" t="str">
            <v>Moyen</v>
          </cell>
          <cell r="D1631" t="str">
            <v>*</v>
          </cell>
          <cell r="F1631">
            <v>1</v>
          </cell>
          <cell r="G1631">
            <v>0</v>
          </cell>
          <cell r="H1631">
            <v>0</v>
          </cell>
        </row>
        <row r="1632">
          <cell r="A1632">
            <v>4705</v>
          </cell>
          <cell r="B1632" t="str">
            <v>Moyen</v>
          </cell>
          <cell r="D1632" t="str">
            <v>*</v>
          </cell>
          <cell r="F1632">
            <v>1</v>
          </cell>
          <cell r="G1632">
            <v>0</v>
          </cell>
          <cell r="H1632">
            <v>0</v>
          </cell>
        </row>
        <row r="1633">
          <cell r="A1633">
            <v>4712</v>
          </cell>
          <cell r="B1633" t="str">
            <v>Moyen</v>
          </cell>
          <cell r="D1633" t="str">
            <v>*</v>
          </cell>
          <cell r="F1633">
            <v>1</v>
          </cell>
          <cell r="G1633">
            <v>0</v>
          </cell>
          <cell r="H1633">
            <v>212355</v>
          </cell>
        </row>
        <row r="1634">
          <cell r="A1634">
            <v>4713</v>
          </cell>
          <cell r="B1634" t="str">
            <v>Moyen</v>
          </cell>
          <cell r="D1634" t="str">
            <v>*</v>
          </cell>
          <cell r="F1634">
            <v>1</v>
          </cell>
          <cell r="G1634">
            <v>0</v>
          </cell>
          <cell r="H1634">
            <v>0</v>
          </cell>
        </row>
        <row r="1635">
          <cell r="A1635">
            <v>4714</v>
          </cell>
          <cell r="B1635" t="str">
            <v>Moyen</v>
          </cell>
          <cell r="D1635" t="str">
            <v>*</v>
          </cell>
          <cell r="F1635">
            <v>1</v>
          </cell>
          <cell r="G1635">
            <v>0</v>
          </cell>
          <cell r="H1635">
            <v>0</v>
          </cell>
        </row>
        <row r="1636">
          <cell r="A1636">
            <v>4715</v>
          </cell>
          <cell r="B1636" t="str">
            <v>Moyen</v>
          </cell>
          <cell r="D1636" t="str">
            <v>*</v>
          </cell>
          <cell r="F1636">
            <v>1</v>
          </cell>
          <cell r="G1636">
            <v>0</v>
          </cell>
          <cell r="H1636">
            <v>0</v>
          </cell>
        </row>
        <row r="1637">
          <cell r="A1637">
            <v>4716</v>
          </cell>
          <cell r="B1637" t="str">
            <v>Moyen</v>
          </cell>
          <cell r="D1637" t="str">
            <v>*</v>
          </cell>
          <cell r="F1637">
            <v>1</v>
          </cell>
          <cell r="G1637">
            <v>0</v>
          </cell>
          <cell r="H1637">
            <v>180060.19649999999</v>
          </cell>
        </row>
        <row r="1638">
          <cell r="A1638">
            <v>4717</v>
          </cell>
          <cell r="B1638" t="str">
            <v>Moyen</v>
          </cell>
          <cell r="D1638" t="str">
            <v>*</v>
          </cell>
          <cell r="F1638">
            <v>1</v>
          </cell>
          <cell r="G1638">
            <v>0</v>
          </cell>
          <cell r="H1638">
            <v>444528.57142857101</v>
          </cell>
        </row>
        <row r="1639">
          <cell r="A1639">
            <v>4799</v>
          </cell>
          <cell r="B1639" t="str">
            <v>Moyen</v>
          </cell>
          <cell r="D1639" t="str">
            <v>*</v>
          </cell>
          <cell r="F1639">
            <v>1</v>
          </cell>
          <cell r="G1639">
            <v>0</v>
          </cell>
          <cell r="H1639">
            <v>0</v>
          </cell>
        </row>
        <row r="1640">
          <cell r="A1640">
            <v>4802</v>
          </cell>
          <cell r="B1640" t="str">
            <v>Moyen</v>
          </cell>
          <cell r="D1640" t="str">
            <v>*</v>
          </cell>
          <cell r="F1640">
            <v>1</v>
          </cell>
          <cell r="G1640">
            <v>0</v>
          </cell>
          <cell r="H1640">
            <v>0</v>
          </cell>
        </row>
        <row r="1641">
          <cell r="A1641">
            <v>4803</v>
          </cell>
          <cell r="B1641" t="str">
            <v>Moyen</v>
          </cell>
          <cell r="D1641" t="str">
            <v>*</v>
          </cell>
          <cell r="F1641">
            <v>1</v>
          </cell>
          <cell r="G1641">
            <v>0</v>
          </cell>
          <cell r="H1641">
            <v>1950</v>
          </cell>
        </row>
        <row r="1642">
          <cell r="A1642">
            <v>4804</v>
          </cell>
          <cell r="B1642" t="str">
            <v>Moyen</v>
          </cell>
          <cell r="D1642" t="str">
            <v>*</v>
          </cell>
          <cell r="F1642">
            <v>1</v>
          </cell>
          <cell r="G1642">
            <v>0</v>
          </cell>
          <cell r="H1642">
            <v>94412</v>
          </cell>
        </row>
        <row r="1643">
          <cell r="A1643">
            <v>4809</v>
          </cell>
          <cell r="B1643" t="str">
            <v>Moyen</v>
          </cell>
          <cell r="D1643" t="str">
            <v>*</v>
          </cell>
          <cell r="F1643">
            <v>1</v>
          </cell>
          <cell r="G1643">
            <v>0</v>
          </cell>
          <cell r="H1643">
            <v>48070.317933636303</v>
          </cell>
        </row>
        <row r="1644">
          <cell r="A1644">
            <v>4810</v>
          </cell>
          <cell r="B1644" t="str">
            <v>Moyen</v>
          </cell>
          <cell r="D1644" t="str">
            <v>*</v>
          </cell>
          <cell r="F1644">
            <v>1</v>
          </cell>
          <cell r="G1644">
            <v>0</v>
          </cell>
          <cell r="H1644">
            <v>3727</v>
          </cell>
        </row>
        <row r="1645">
          <cell r="A1645">
            <v>4811</v>
          </cell>
          <cell r="B1645" t="str">
            <v>Moyen</v>
          </cell>
          <cell r="D1645" t="str">
            <v>*</v>
          </cell>
          <cell r="F1645">
            <v>1</v>
          </cell>
          <cell r="G1645">
            <v>0</v>
          </cell>
          <cell r="H1645">
            <v>38298.015337335099</v>
          </cell>
        </row>
        <row r="1646">
          <cell r="A1646">
            <v>4812</v>
          </cell>
          <cell r="B1646" t="str">
            <v>Moyen</v>
          </cell>
          <cell r="D1646" t="str">
            <v>*</v>
          </cell>
          <cell r="F1646">
            <v>1</v>
          </cell>
          <cell r="G1646">
            <v>0</v>
          </cell>
          <cell r="H1646">
            <v>16398.924999999999</v>
          </cell>
        </row>
        <row r="1647">
          <cell r="A1647">
            <v>4813</v>
          </cell>
          <cell r="B1647" t="str">
            <v>Moyen</v>
          </cell>
          <cell r="D1647" t="str">
            <v>*</v>
          </cell>
          <cell r="F1647">
            <v>1</v>
          </cell>
          <cell r="G1647">
            <v>0</v>
          </cell>
          <cell r="H1647">
            <v>0</v>
          </cell>
        </row>
        <row r="1648">
          <cell r="A1648">
            <v>4822</v>
          </cell>
          <cell r="B1648" t="str">
            <v>Moyen</v>
          </cell>
          <cell r="D1648" t="str">
            <v>*</v>
          </cell>
          <cell r="F1648">
            <v>1</v>
          </cell>
          <cell r="G1648">
            <v>0</v>
          </cell>
          <cell r="H1648">
            <v>0</v>
          </cell>
        </row>
        <row r="1649">
          <cell r="A1649">
            <v>4823</v>
          </cell>
          <cell r="B1649" t="str">
            <v>Moyen</v>
          </cell>
          <cell r="D1649" t="str">
            <v>*</v>
          </cell>
          <cell r="F1649">
            <v>1</v>
          </cell>
          <cell r="G1649">
            <v>0</v>
          </cell>
          <cell r="H1649">
            <v>0</v>
          </cell>
        </row>
        <row r="1650">
          <cell r="A1650">
            <v>4824</v>
          </cell>
          <cell r="B1650" t="str">
            <v>Moyen</v>
          </cell>
          <cell r="D1650" t="str">
            <v>*</v>
          </cell>
          <cell r="F1650">
            <v>1</v>
          </cell>
          <cell r="G1650">
            <v>0</v>
          </cell>
          <cell r="H1650">
            <v>0</v>
          </cell>
        </row>
        <row r="1651">
          <cell r="A1651">
            <v>4825</v>
          </cell>
          <cell r="B1651" t="str">
            <v>Moyen</v>
          </cell>
          <cell r="D1651" t="str">
            <v>*</v>
          </cell>
          <cell r="F1651">
            <v>1</v>
          </cell>
          <cell r="G1651">
            <v>0</v>
          </cell>
          <cell r="H1651">
            <v>0</v>
          </cell>
        </row>
        <row r="1652">
          <cell r="A1652">
            <v>4826</v>
          </cell>
          <cell r="B1652" t="str">
            <v>Moyen</v>
          </cell>
          <cell r="D1652" t="str">
            <v>*</v>
          </cell>
          <cell r="F1652">
            <v>1</v>
          </cell>
          <cell r="G1652">
            <v>0</v>
          </cell>
          <cell r="H1652">
            <v>0</v>
          </cell>
        </row>
        <row r="1653">
          <cell r="A1653">
            <v>4827</v>
          </cell>
          <cell r="B1653" t="str">
            <v>Moyen</v>
          </cell>
          <cell r="D1653" t="str">
            <v>*</v>
          </cell>
          <cell r="F1653">
            <v>1</v>
          </cell>
          <cell r="G1653">
            <v>0</v>
          </cell>
          <cell r="H1653">
            <v>0</v>
          </cell>
        </row>
        <row r="1654">
          <cell r="A1654">
            <v>4828</v>
          </cell>
          <cell r="B1654" t="str">
            <v>Moyen</v>
          </cell>
          <cell r="D1654" t="str">
            <v>*</v>
          </cell>
          <cell r="F1654">
            <v>1</v>
          </cell>
          <cell r="G1654">
            <v>0</v>
          </cell>
          <cell r="H1654">
            <v>0</v>
          </cell>
        </row>
        <row r="1655">
          <cell r="A1655">
            <v>4829</v>
          </cell>
          <cell r="B1655" t="str">
            <v>Moyen</v>
          </cell>
          <cell r="D1655" t="str">
            <v>*</v>
          </cell>
          <cell r="F1655">
            <v>1</v>
          </cell>
          <cell r="G1655">
            <v>0</v>
          </cell>
          <cell r="H1655">
            <v>0</v>
          </cell>
        </row>
        <row r="1656">
          <cell r="A1656">
            <v>4830</v>
          </cell>
          <cell r="B1656" t="str">
            <v>Moyen</v>
          </cell>
          <cell r="D1656" t="str">
            <v>*</v>
          </cell>
          <cell r="F1656">
            <v>1</v>
          </cell>
          <cell r="G1656">
            <v>0</v>
          </cell>
          <cell r="H1656">
            <v>0</v>
          </cell>
        </row>
        <row r="1657">
          <cell r="A1657">
            <v>4831</v>
          </cell>
          <cell r="B1657" t="str">
            <v>Moyen</v>
          </cell>
          <cell r="D1657" t="str">
            <v>*</v>
          </cell>
          <cell r="F1657">
            <v>1</v>
          </cell>
          <cell r="G1657">
            <v>0</v>
          </cell>
          <cell r="H1657">
            <v>0</v>
          </cell>
        </row>
        <row r="1658">
          <cell r="A1658">
            <v>4832</v>
          </cell>
          <cell r="B1658" t="str">
            <v>Moyen</v>
          </cell>
          <cell r="D1658" t="str">
            <v>*</v>
          </cell>
          <cell r="F1658">
            <v>1</v>
          </cell>
          <cell r="G1658">
            <v>0</v>
          </cell>
          <cell r="H1658">
            <v>0</v>
          </cell>
        </row>
        <row r="1659">
          <cell r="A1659">
            <v>4833</v>
          </cell>
          <cell r="B1659" t="str">
            <v>Moyen</v>
          </cell>
          <cell r="D1659" t="str">
            <v>*</v>
          </cell>
          <cell r="F1659">
            <v>1</v>
          </cell>
          <cell r="G1659">
            <v>0</v>
          </cell>
          <cell r="H1659">
            <v>141048.73308074</v>
          </cell>
        </row>
        <row r="1660">
          <cell r="A1660">
            <v>4834</v>
          </cell>
          <cell r="B1660" t="str">
            <v>Moyen</v>
          </cell>
          <cell r="D1660" t="str">
            <v>*</v>
          </cell>
          <cell r="F1660">
            <v>1</v>
          </cell>
          <cell r="G1660">
            <v>0</v>
          </cell>
          <cell r="H1660">
            <v>626929</v>
          </cell>
        </row>
        <row r="1661">
          <cell r="A1661">
            <v>4835</v>
          </cell>
          <cell r="B1661" t="str">
            <v>Moyen</v>
          </cell>
          <cell r="D1661" t="str">
            <v>*</v>
          </cell>
          <cell r="F1661">
            <v>1</v>
          </cell>
          <cell r="G1661">
            <v>0</v>
          </cell>
          <cell r="H1661">
            <v>0</v>
          </cell>
        </row>
        <row r="1662">
          <cell r="A1662">
            <v>4836</v>
          </cell>
          <cell r="B1662" t="str">
            <v>Moyen</v>
          </cell>
          <cell r="D1662" t="str">
            <v>*</v>
          </cell>
          <cell r="F1662">
            <v>1</v>
          </cell>
          <cell r="G1662">
            <v>0</v>
          </cell>
          <cell r="H1662">
            <v>0</v>
          </cell>
        </row>
        <row r="1663">
          <cell r="A1663">
            <v>4837</v>
          </cell>
          <cell r="B1663" t="str">
            <v>Moyen</v>
          </cell>
          <cell r="D1663" t="str">
            <v>*</v>
          </cell>
          <cell r="F1663">
            <v>1</v>
          </cell>
          <cell r="G1663">
            <v>0</v>
          </cell>
          <cell r="H1663">
            <v>389346.56</v>
          </cell>
        </row>
        <row r="1664">
          <cell r="A1664">
            <v>4838</v>
          </cell>
          <cell r="B1664" t="str">
            <v>Moyen</v>
          </cell>
          <cell r="D1664" t="str">
            <v>*</v>
          </cell>
          <cell r="F1664">
            <v>1</v>
          </cell>
          <cell r="G1664">
            <v>0</v>
          </cell>
          <cell r="H1664">
            <v>0</v>
          </cell>
        </row>
        <row r="1665">
          <cell r="A1665">
            <v>4839</v>
          </cell>
          <cell r="B1665" t="str">
            <v>Moyen</v>
          </cell>
          <cell r="D1665" t="str">
            <v>*</v>
          </cell>
          <cell r="F1665">
            <v>1</v>
          </cell>
          <cell r="G1665">
            <v>0</v>
          </cell>
          <cell r="H1665">
            <v>0</v>
          </cell>
        </row>
        <row r="1666">
          <cell r="A1666">
            <v>4840</v>
          </cell>
          <cell r="B1666" t="str">
            <v>Moyen</v>
          </cell>
          <cell r="D1666" t="str">
            <v>*</v>
          </cell>
          <cell r="F1666">
            <v>1</v>
          </cell>
          <cell r="G1666">
            <v>0</v>
          </cell>
          <cell r="H1666">
            <v>0</v>
          </cell>
        </row>
        <row r="1667">
          <cell r="A1667">
            <v>4841</v>
          </cell>
          <cell r="B1667" t="str">
            <v>Moyen</v>
          </cell>
          <cell r="D1667" t="str">
            <v>*</v>
          </cell>
          <cell r="F1667">
            <v>1</v>
          </cell>
          <cell r="G1667">
            <v>0</v>
          </cell>
          <cell r="H1667">
            <v>0</v>
          </cell>
        </row>
        <row r="1668">
          <cell r="A1668">
            <v>4842</v>
          </cell>
          <cell r="B1668" t="str">
            <v>Moyen</v>
          </cell>
          <cell r="D1668" t="str">
            <v>*</v>
          </cell>
          <cell r="F1668">
            <v>1</v>
          </cell>
          <cell r="G1668">
            <v>0</v>
          </cell>
          <cell r="H1668">
            <v>0</v>
          </cell>
        </row>
        <row r="1669">
          <cell r="A1669">
            <v>4844</v>
          </cell>
          <cell r="B1669" t="str">
            <v>Moyen</v>
          </cell>
          <cell r="D1669" t="str">
            <v>*</v>
          </cell>
          <cell r="F1669">
            <v>1</v>
          </cell>
          <cell r="G1669">
            <v>0</v>
          </cell>
          <cell r="H1669">
            <v>0</v>
          </cell>
        </row>
        <row r="1670">
          <cell r="A1670">
            <v>4845</v>
          </cell>
          <cell r="B1670" t="str">
            <v>Moyen</v>
          </cell>
          <cell r="D1670" t="str">
            <v>*</v>
          </cell>
          <cell r="F1670">
            <v>1</v>
          </cell>
          <cell r="G1670">
            <v>0</v>
          </cell>
          <cell r="H1670">
            <v>0</v>
          </cell>
        </row>
        <row r="1671">
          <cell r="A1671">
            <v>4846</v>
          </cell>
          <cell r="B1671" t="str">
            <v>Moyen</v>
          </cell>
          <cell r="D1671" t="str">
            <v>*</v>
          </cell>
          <cell r="F1671">
            <v>1</v>
          </cell>
          <cell r="G1671">
            <v>0</v>
          </cell>
          <cell r="H1671">
            <v>0</v>
          </cell>
        </row>
        <row r="1672">
          <cell r="A1672">
            <v>4847</v>
          </cell>
          <cell r="B1672" t="str">
            <v>Moyen</v>
          </cell>
          <cell r="D1672" t="str">
            <v>*</v>
          </cell>
          <cell r="F1672">
            <v>1</v>
          </cell>
          <cell r="G1672">
            <v>0</v>
          </cell>
          <cell r="H1672">
            <v>0</v>
          </cell>
        </row>
        <row r="1673">
          <cell r="A1673">
            <v>4848</v>
          </cell>
          <cell r="B1673" t="str">
            <v>Moyen</v>
          </cell>
          <cell r="D1673" t="str">
            <v>*</v>
          </cell>
          <cell r="F1673">
            <v>1</v>
          </cell>
          <cell r="G1673">
            <v>0</v>
          </cell>
          <cell r="H1673">
            <v>0</v>
          </cell>
        </row>
        <row r="1674">
          <cell r="A1674">
            <v>4859</v>
          </cell>
          <cell r="B1674" t="str">
            <v>Moyen</v>
          </cell>
          <cell r="D1674" t="str">
            <v>*</v>
          </cell>
          <cell r="F1674">
            <v>1</v>
          </cell>
          <cell r="G1674">
            <v>0</v>
          </cell>
          <cell r="H1674">
            <v>2463.91923705722</v>
          </cell>
        </row>
        <row r="1675">
          <cell r="A1675">
            <v>4860</v>
          </cell>
          <cell r="B1675" t="str">
            <v>Moyen</v>
          </cell>
          <cell r="D1675" t="str">
            <v>*</v>
          </cell>
          <cell r="F1675">
            <v>1</v>
          </cell>
          <cell r="G1675">
            <v>0</v>
          </cell>
          <cell r="H1675">
            <v>973.52135187705596</v>
          </cell>
        </row>
        <row r="1676">
          <cell r="A1676">
            <v>4861</v>
          </cell>
          <cell r="B1676" t="str">
            <v>Moyen</v>
          </cell>
          <cell r="D1676" t="str">
            <v>*</v>
          </cell>
          <cell r="F1676">
            <v>1</v>
          </cell>
          <cell r="G1676">
            <v>0</v>
          </cell>
          <cell r="H1676">
            <v>819.02971996517101</v>
          </cell>
        </row>
        <row r="1677">
          <cell r="A1677">
            <v>4862</v>
          </cell>
          <cell r="B1677" t="str">
            <v>Moyen</v>
          </cell>
          <cell r="D1677" t="str">
            <v>*</v>
          </cell>
          <cell r="F1677">
            <v>1</v>
          </cell>
          <cell r="G1677">
            <v>0</v>
          </cell>
          <cell r="H1677">
            <v>950</v>
          </cell>
        </row>
        <row r="1678">
          <cell r="A1678">
            <v>4863</v>
          </cell>
          <cell r="B1678" t="str">
            <v>Moyen</v>
          </cell>
          <cell r="D1678" t="str">
            <v>*</v>
          </cell>
          <cell r="F1678">
            <v>1</v>
          </cell>
          <cell r="G1678">
            <v>0</v>
          </cell>
          <cell r="H1678">
            <v>671.43737166324399</v>
          </cell>
        </row>
        <row r="1679">
          <cell r="A1679">
            <v>4864</v>
          </cell>
          <cell r="B1679" t="str">
            <v>Moyen</v>
          </cell>
          <cell r="D1679" t="str">
            <v>*</v>
          </cell>
          <cell r="F1679">
            <v>1</v>
          </cell>
          <cell r="G1679">
            <v>0</v>
          </cell>
          <cell r="H1679">
            <v>0</v>
          </cell>
        </row>
        <row r="1680">
          <cell r="A1680">
            <v>4865</v>
          </cell>
          <cell r="B1680" t="str">
            <v>Moyen</v>
          </cell>
          <cell r="D1680" t="str">
            <v>*</v>
          </cell>
          <cell r="F1680">
            <v>1</v>
          </cell>
          <cell r="G1680">
            <v>0</v>
          </cell>
          <cell r="H1680">
            <v>0</v>
          </cell>
        </row>
        <row r="1681">
          <cell r="A1681">
            <v>4869</v>
          </cell>
          <cell r="B1681" t="str">
            <v>Moyen</v>
          </cell>
          <cell r="D1681" t="str">
            <v>*</v>
          </cell>
          <cell r="F1681">
            <v>1</v>
          </cell>
          <cell r="G1681">
            <v>0</v>
          </cell>
          <cell r="H1681">
            <v>260196</v>
          </cell>
        </row>
        <row r="1682">
          <cell r="A1682">
            <v>4870</v>
          </cell>
          <cell r="B1682" t="str">
            <v>Moyen</v>
          </cell>
          <cell r="D1682" t="str">
            <v>*</v>
          </cell>
          <cell r="F1682">
            <v>1</v>
          </cell>
          <cell r="G1682">
            <v>0</v>
          </cell>
          <cell r="H1682">
            <v>0</v>
          </cell>
        </row>
        <row r="1683">
          <cell r="A1683">
            <v>4871</v>
          </cell>
          <cell r="B1683" t="str">
            <v>Moyen</v>
          </cell>
          <cell r="D1683" t="str">
            <v>*</v>
          </cell>
          <cell r="F1683">
            <v>1</v>
          </cell>
          <cell r="G1683">
            <v>0</v>
          </cell>
          <cell r="H1683">
            <v>0</v>
          </cell>
        </row>
        <row r="1684">
          <cell r="A1684">
            <v>4874</v>
          </cell>
          <cell r="B1684" t="str">
            <v>Moyen</v>
          </cell>
          <cell r="D1684" t="str">
            <v>*</v>
          </cell>
          <cell r="F1684">
            <v>1</v>
          </cell>
          <cell r="G1684">
            <v>0</v>
          </cell>
          <cell r="H1684">
            <v>0</v>
          </cell>
        </row>
        <row r="1685">
          <cell r="A1685">
            <v>4875</v>
          </cell>
          <cell r="B1685" t="str">
            <v>Moyen</v>
          </cell>
          <cell r="D1685" t="str">
            <v>*</v>
          </cell>
          <cell r="F1685">
            <v>1</v>
          </cell>
          <cell r="G1685">
            <v>0</v>
          </cell>
          <cell r="H1685">
            <v>0</v>
          </cell>
        </row>
        <row r="1686">
          <cell r="A1686">
            <v>4876</v>
          </cell>
          <cell r="B1686" t="str">
            <v>Moyen</v>
          </cell>
          <cell r="D1686" t="str">
            <v>*</v>
          </cell>
          <cell r="F1686">
            <v>1</v>
          </cell>
          <cell r="G1686">
            <v>0</v>
          </cell>
          <cell r="H1686">
            <v>0</v>
          </cell>
        </row>
        <row r="1687">
          <cell r="A1687">
            <v>4877</v>
          </cell>
          <cell r="B1687" t="str">
            <v>Moyen</v>
          </cell>
          <cell r="D1687" t="str">
            <v>*</v>
          </cell>
          <cell r="F1687">
            <v>1</v>
          </cell>
          <cell r="G1687">
            <v>0</v>
          </cell>
          <cell r="H1687">
            <v>0</v>
          </cell>
        </row>
        <row r="1688">
          <cell r="A1688">
            <v>4878</v>
          </cell>
          <cell r="B1688" t="str">
            <v>Moyen</v>
          </cell>
          <cell r="D1688" t="str">
            <v>*</v>
          </cell>
          <cell r="F1688">
            <v>1</v>
          </cell>
          <cell r="G1688">
            <v>0</v>
          </cell>
          <cell r="H1688">
            <v>0</v>
          </cell>
        </row>
        <row r="1689">
          <cell r="A1689">
            <v>4879</v>
          </cell>
          <cell r="B1689" t="str">
            <v>Moyen</v>
          </cell>
          <cell r="D1689" t="str">
            <v>*</v>
          </cell>
          <cell r="F1689">
            <v>1</v>
          </cell>
          <cell r="G1689">
            <v>0</v>
          </cell>
          <cell r="H1689">
            <v>0</v>
          </cell>
        </row>
        <row r="1690">
          <cell r="A1690">
            <v>4881</v>
          </cell>
          <cell r="B1690" t="str">
            <v>Moyen</v>
          </cell>
          <cell r="D1690" t="str">
            <v>*</v>
          </cell>
          <cell r="F1690">
            <v>1</v>
          </cell>
          <cell r="G1690">
            <v>0</v>
          </cell>
          <cell r="H1690">
            <v>266040.47624181799</v>
          </cell>
        </row>
        <row r="1691">
          <cell r="A1691">
            <v>4882</v>
          </cell>
          <cell r="B1691" t="str">
            <v>Moyen</v>
          </cell>
          <cell r="D1691" t="str">
            <v>*</v>
          </cell>
          <cell r="F1691">
            <v>1</v>
          </cell>
          <cell r="G1691">
            <v>0</v>
          </cell>
          <cell r="H1691">
            <v>3600259.3519199998</v>
          </cell>
        </row>
        <row r="1692">
          <cell r="A1692">
            <v>4883</v>
          </cell>
          <cell r="B1692" t="str">
            <v>Moyen</v>
          </cell>
          <cell r="D1692" t="str">
            <v>*</v>
          </cell>
          <cell r="F1692">
            <v>1</v>
          </cell>
          <cell r="G1692">
            <v>0</v>
          </cell>
          <cell r="H1692">
            <v>327933</v>
          </cell>
        </row>
        <row r="1693">
          <cell r="A1693">
            <v>4884</v>
          </cell>
          <cell r="B1693" t="str">
            <v>Moyen</v>
          </cell>
          <cell r="D1693" t="str">
            <v>*</v>
          </cell>
          <cell r="F1693">
            <v>1</v>
          </cell>
          <cell r="G1693">
            <v>0</v>
          </cell>
          <cell r="H1693">
            <v>0</v>
          </cell>
        </row>
        <row r="1694">
          <cell r="A1694">
            <v>4885</v>
          </cell>
          <cell r="B1694" t="str">
            <v>Moyen</v>
          </cell>
          <cell r="D1694" t="str">
            <v>*</v>
          </cell>
          <cell r="F1694">
            <v>1</v>
          </cell>
          <cell r="G1694">
            <v>0</v>
          </cell>
          <cell r="H1694">
            <v>0</v>
          </cell>
        </row>
        <row r="1695">
          <cell r="A1695">
            <v>4886</v>
          </cell>
          <cell r="B1695" t="str">
            <v>Moyen</v>
          </cell>
          <cell r="D1695" t="str">
            <v>*</v>
          </cell>
          <cell r="F1695">
            <v>1</v>
          </cell>
          <cell r="G1695">
            <v>0</v>
          </cell>
          <cell r="H1695">
            <v>0</v>
          </cell>
        </row>
        <row r="1696">
          <cell r="A1696">
            <v>4887</v>
          </cell>
          <cell r="B1696" t="str">
            <v>Moyen</v>
          </cell>
          <cell r="D1696" t="str">
            <v>*</v>
          </cell>
          <cell r="F1696">
            <v>1</v>
          </cell>
          <cell r="G1696">
            <v>0</v>
          </cell>
          <cell r="H1696">
            <v>0</v>
          </cell>
        </row>
        <row r="1697">
          <cell r="A1697">
            <v>4888</v>
          </cell>
          <cell r="B1697" t="str">
            <v>Moyen</v>
          </cell>
          <cell r="D1697" t="str">
            <v>*</v>
          </cell>
          <cell r="F1697">
            <v>1</v>
          </cell>
          <cell r="G1697">
            <v>0</v>
          </cell>
          <cell r="H1697">
            <v>132376.820359281</v>
          </cell>
        </row>
        <row r="1698">
          <cell r="A1698">
            <v>4889</v>
          </cell>
          <cell r="B1698" t="str">
            <v>Moyen</v>
          </cell>
          <cell r="D1698" t="str">
            <v>*</v>
          </cell>
          <cell r="F1698">
            <v>1</v>
          </cell>
          <cell r="G1698">
            <v>0</v>
          </cell>
          <cell r="H1698">
            <v>0</v>
          </cell>
        </row>
        <row r="1699">
          <cell r="A1699">
            <v>4892</v>
          </cell>
          <cell r="B1699" t="str">
            <v>Moyen</v>
          </cell>
          <cell r="D1699" t="str">
            <v>*</v>
          </cell>
          <cell r="F1699">
            <v>1</v>
          </cell>
          <cell r="G1699">
            <v>0</v>
          </cell>
          <cell r="H1699">
            <v>0</v>
          </cell>
        </row>
        <row r="1700">
          <cell r="A1700">
            <v>4893</v>
          </cell>
          <cell r="B1700" t="str">
            <v>Moyen</v>
          </cell>
          <cell r="D1700" t="str">
            <v>*</v>
          </cell>
          <cell r="F1700">
            <v>1</v>
          </cell>
          <cell r="G1700">
            <v>0</v>
          </cell>
          <cell r="H1700">
            <v>0</v>
          </cell>
        </row>
        <row r="1701">
          <cell r="A1701">
            <v>4894</v>
          </cell>
          <cell r="B1701" t="str">
            <v>Moyen</v>
          </cell>
          <cell r="D1701" t="str">
            <v>*</v>
          </cell>
          <cell r="F1701">
            <v>1</v>
          </cell>
          <cell r="G1701">
            <v>0</v>
          </cell>
          <cell r="H1701">
            <v>0</v>
          </cell>
        </row>
        <row r="1702">
          <cell r="A1702">
            <v>4895</v>
          </cell>
          <cell r="B1702" t="str">
            <v>Moyen</v>
          </cell>
          <cell r="D1702" t="str">
            <v>*</v>
          </cell>
          <cell r="F1702">
            <v>1</v>
          </cell>
          <cell r="G1702">
            <v>0</v>
          </cell>
          <cell r="H1702">
            <v>0</v>
          </cell>
        </row>
        <row r="1703">
          <cell r="A1703">
            <v>4897</v>
          </cell>
          <cell r="B1703" t="str">
            <v>Moyen</v>
          </cell>
          <cell r="D1703" t="str">
            <v>*</v>
          </cell>
          <cell r="F1703">
            <v>1</v>
          </cell>
          <cell r="G1703">
            <v>0</v>
          </cell>
          <cell r="H1703">
            <v>0</v>
          </cell>
        </row>
        <row r="1704">
          <cell r="A1704">
            <v>4898</v>
          </cell>
          <cell r="B1704" t="str">
            <v>Moyen</v>
          </cell>
          <cell r="D1704" t="str">
            <v>*</v>
          </cell>
          <cell r="F1704">
            <v>1</v>
          </cell>
          <cell r="G1704">
            <v>0</v>
          </cell>
          <cell r="H1704">
            <v>0</v>
          </cell>
        </row>
        <row r="1705">
          <cell r="A1705">
            <v>4900</v>
          </cell>
          <cell r="B1705" t="str">
            <v>Moyen</v>
          </cell>
          <cell r="D1705" t="str">
            <v>*</v>
          </cell>
          <cell r="F1705">
            <v>1</v>
          </cell>
          <cell r="G1705">
            <v>0</v>
          </cell>
          <cell r="H1705">
            <v>2800</v>
          </cell>
        </row>
        <row r="1706">
          <cell r="A1706">
            <v>4901</v>
          </cell>
          <cell r="B1706" t="str">
            <v>Moyen</v>
          </cell>
          <cell r="D1706" t="str">
            <v>*</v>
          </cell>
          <cell r="F1706">
            <v>1</v>
          </cell>
          <cell r="G1706">
            <v>0</v>
          </cell>
          <cell r="H1706">
            <v>9500</v>
          </cell>
        </row>
        <row r="1707">
          <cell r="A1707">
            <v>4916</v>
          </cell>
          <cell r="B1707" t="str">
            <v>Moyen</v>
          </cell>
          <cell r="D1707" t="str">
            <v>*</v>
          </cell>
          <cell r="F1707">
            <v>1</v>
          </cell>
          <cell r="G1707">
            <v>0</v>
          </cell>
          <cell r="H1707">
            <v>0</v>
          </cell>
        </row>
        <row r="1708">
          <cell r="A1708">
            <v>4917</v>
          </cell>
          <cell r="B1708" t="str">
            <v>Moyen</v>
          </cell>
          <cell r="D1708" t="str">
            <v>*</v>
          </cell>
          <cell r="F1708">
            <v>1</v>
          </cell>
          <cell r="G1708">
            <v>0</v>
          </cell>
          <cell r="H1708">
            <v>0</v>
          </cell>
        </row>
        <row r="1709">
          <cell r="A1709">
            <v>4918</v>
          </cell>
          <cell r="B1709" t="str">
            <v>Moyen</v>
          </cell>
          <cell r="D1709" t="str">
            <v>*</v>
          </cell>
          <cell r="F1709">
            <v>1</v>
          </cell>
          <cell r="G1709">
            <v>0</v>
          </cell>
          <cell r="H1709">
            <v>0</v>
          </cell>
        </row>
        <row r="1710">
          <cell r="A1710">
            <v>4919</v>
          </cell>
          <cell r="B1710" t="str">
            <v>Moyen</v>
          </cell>
          <cell r="D1710" t="str">
            <v>*</v>
          </cell>
          <cell r="F1710">
            <v>1</v>
          </cell>
          <cell r="G1710">
            <v>0</v>
          </cell>
          <cell r="H1710">
            <v>24709.945416406201</v>
          </cell>
        </row>
        <row r="1711">
          <cell r="A1711">
            <v>4920</v>
          </cell>
          <cell r="B1711" t="str">
            <v>Moyen</v>
          </cell>
          <cell r="D1711" t="str">
            <v>*</v>
          </cell>
          <cell r="F1711">
            <v>1</v>
          </cell>
          <cell r="G1711">
            <v>0</v>
          </cell>
          <cell r="H1711">
            <v>121186.97318311001</v>
          </cell>
        </row>
        <row r="1712">
          <cell r="A1712">
            <v>4921</v>
          </cell>
          <cell r="B1712" t="str">
            <v>Moyen</v>
          </cell>
          <cell r="D1712" t="str">
            <v>*</v>
          </cell>
          <cell r="F1712">
            <v>1</v>
          </cell>
          <cell r="G1712">
            <v>0</v>
          </cell>
          <cell r="H1712">
            <v>32601</v>
          </cell>
        </row>
        <row r="1713">
          <cell r="A1713">
            <v>4924</v>
          </cell>
          <cell r="B1713" t="str">
            <v>Moyen</v>
          </cell>
          <cell r="D1713" t="str">
            <v>*</v>
          </cell>
          <cell r="F1713">
            <v>1</v>
          </cell>
          <cell r="G1713">
            <v>0</v>
          </cell>
          <cell r="H1713">
            <v>974096.14500000002</v>
          </cell>
        </row>
        <row r="1714">
          <cell r="A1714">
            <v>4925</v>
          </cell>
          <cell r="B1714" t="str">
            <v>Moyen</v>
          </cell>
          <cell r="D1714" t="str">
            <v>*</v>
          </cell>
          <cell r="F1714">
            <v>1</v>
          </cell>
          <cell r="G1714">
            <v>0</v>
          </cell>
          <cell r="H1714">
            <v>0</v>
          </cell>
        </row>
        <row r="1715">
          <cell r="A1715">
            <v>4926</v>
          </cell>
          <cell r="B1715" t="str">
            <v>Moyen</v>
          </cell>
          <cell r="D1715" t="str">
            <v>*</v>
          </cell>
          <cell r="F1715">
            <v>1</v>
          </cell>
          <cell r="G1715">
            <v>0</v>
          </cell>
          <cell r="H1715">
            <v>0</v>
          </cell>
        </row>
        <row r="1716">
          <cell r="A1716">
            <v>4927</v>
          </cell>
          <cell r="B1716" t="str">
            <v>Moyen</v>
          </cell>
          <cell r="D1716" t="str">
            <v>*</v>
          </cell>
          <cell r="F1716">
            <v>1</v>
          </cell>
          <cell r="G1716">
            <v>0</v>
          </cell>
          <cell r="H1716">
            <v>274648</v>
          </cell>
        </row>
        <row r="1717">
          <cell r="A1717">
            <v>4928</v>
          </cell>
          <cell r="B1717" t="str">
            <v>Moyen</v>
          </cell>
          <cell r="D1717" t="str">
            <v>*</v>
          </cell>
          <cell r="F1717">
            <v>1</v>
          </cell>
          <cell r="G1717">
            <v>0</v>
          </cell>
          <cell r="H1717">
            <v>172476.17600000001</v>
          </cell>
        </row>
        <row r="1718">
          <cell r="A1718">
            <v>4929</v>
          </cell>
          <cell r="B1718" t="str">
            <v>Moyen</v>
          </cell>
          <cell r="D1718" t="str">
            <v>*</v>
          </cell>
          <cell r="F1718">
            <v>1</v>
          </cell>
          <cell r="G1718">
            <v>0</v>
          </cell>
          <cell r="H1718">
            <v>20249</v>
          </cell>
        </row>
        <row r="1719">
          <cell r="A1719">
            <v>4930</v>
          </cell>
          <cell r="B1719" t="str">
            <v>Moyen</v>
          </cell>
          <cell r="D1719" t="str">
            <v>*</v>
          </cell>
          <cell r="F1719">
            <v>1</v>
          </cell>
          <cell r="G1719">
            <v>0</v>
          </cell>
          <cell r="H1719">
            <v>977</v>
          </cell>
        </row>
        <row r="1720">
          <cell r="A1720">
            <v>4931</v>
          </cell>
          <cell r="B1720" t="str">
            <v>Moyen</v>
          </cell>
          <cell r="D1720" t="str">
            <v>*</v>
          </cell>
          <cell r="F1720">
            <v>1</v>
          </cell>
          <cell r="G1720">
            <v>0</v>
          </cell>
          <cell r="H1720">
            <v>0</v>
          </cell>
        </row>
        <row r="1721">
          <cell r="A1721">
            <v>4932</v>
          </cell>
          <cell r="B1721" t="str">
            <v>Moyen</v>
          </cell>
          <cell r="D1721" t="str">
            <v>*</v>
          </cell>
          <cell r="F1721">
            <v>1</v>
          </cell>
          <cell r="G1721">
            <v>0</v>
          </cell>
          <cell r="H1721">
            <v>0</v>
          </cell>
        </row>
        <row r="1722">
          <cell r="A1722">
            <v>4933</v>
          </cell>
          <cell r="B1722" t="str">
            <v>Moyen</v>
          </cell>
          <cell r="D1722" t="str">
            <v>*</v>
          </cell>
          <cell r="F1722">
            <v>1</v>
          </cell>
          <cell r="G1722">
            <v>0</v>
          </cell>
          <cell r="H1722">
            <v>0</v>
          </cell>
        </row>
        <row r="1723">
          <cell r="A1723">
            <v>4934</v>
          </cell>
          <cell r="B1723" t="str">
            <v>Moyen</v>
          </cell>
          <cell r="D1723" t="str">
            <v>*</v>
          </cell>
          <cell r="F1723">
            <v>1</v>
          </cell>
          <cell r="G1723">
            <v>0</v>
          </cell>
          <cell r="H1723">
            <v>0</v>
          </cell>
        </row>
        <row r="1724">
          <cell r="A1724">
            <v>4935</v>
          </cell>
          <cell r="B1724" t="str">
            <v>Moyen</v>
          </cell>
          <cell r="D1724" t="str">
            <v>*</v>
          </cell>
          <cell r="F1724">
            <v>1</v>
          </cell>
          <cell r="G1724">
            <v>0</v>
          </cell>
          <cell r="H1724">
            <v>1450</v>
          </cell>
        </row>
        <row r="1725">
          <cell r="A1725">
            <v>4936</v>
          </cell>
          <cell r="B1725" t="str">
            <v>Moyen</v>
          </cell>
          <cell r="D1725" t="str">
            <v>*</v>
          </cell>
          <cell r="F1725">
            <v>1</v>
          </cell>
          <cell r="G1725">
            <v>0</v>
          </cell>
          <cell r="H1725">
            <v>6750</v>
          </cell>
        </row>
        <row r="1726">
          <cell r="A1726">
            <v>4937</v>
          </cell>
          <cell r="B1726" t="str">
            <v>Moyen</v>
          </cell>
          <cell r="D1726" t="str">
            <v>*</v>
          </cell>
          <cell r="F1726">
            <v>1</v>
          </cell>
          <cell r="G1726">
            <v>0</v>
          </cell>
          <cell r="H1726">
            <v>161</v>
          </cell>
        </row>
        <row r="1727">
          <cell r="A1727">
            <v>4938</v>
          </cell>
          <cell r="B1727" t="str">
            <v>Moyen</v>
          </cell>
          <cell r="D1727" t="str">
            <v>*</v>
          </cell>
          <cell r="F1727">
            <v>1</v>
          </cell>
          <cell r="G1727">
            <v>0</v>
          </cell>
          <cell r="H1727">
            <v>200</v>
          </cell>
        </row>
        <row r="1728">
          <cell r="A1728">
            <v>4941</v>
          </cell>
          <cell r="B1728" t="str">
            <v>Moyen</v>
          </cell>
          <cell r="D1728" t="str">
            <v>*</v>
          </cell>
          <cell r="F1728">
            <v>1</v>
          </cell>
          <cell r="G1728">
            <v>0</v>
          </cell>
          <cell r="H1728">
            <v>0</v>
          </cell>
        </row>
        <row r="1729">
          <cell r="A1729">
            <v>4942</v>
          </cell>
          <cell r="B1729" t="str">
            <v>Moyen</v>
          </cell>
          <cell r="D1729" t="str">
            <v>*</v>
          </cell>
          <cell r="F1729">
            <v>1</v>
          </cell>
          <cell r="G1729">
            <v>0</v>
          </cell>
          <cell r="H1729">
            <v>0</v>
          </cell>
        </row>
        <row r="1730">
          <cell r="A1730">
            <v>4946</v>
          </cell>
          <cell r="B1730" t="str">
            <v>Moyen</v>
          </cell>
          <cell r="D1730" t="str">
            <v>*</v>
          </cell>
          <cell r="F1730">
            <v>1</v>
          </cell>
          <cell r="G1730">
            <v>0</v>
          </cell>
          <cell r="H1730">
            <v>0</v>
          </cell>
        </row>
        <row r="1731">
          <cell r="A1731">
            <v>4947</v>
          </cell>
          <cell r="B1731" t="str">
            <v>Moyen</v>
          </cell>
          <cell r="D1731" t="str">
            <v>*</v>
          </cell>
          <cell r="F1731">
            <v>1</v>
          </cell>
          <cell r="G1731">
            <v>0</v>
          </cell>
          <cell r="H1731">
            <v>8122.0595739999999</v>
          </cell>
        </row>
        <row r="1732">
          <cell r="A1732">
            <v>4948</v>
          </cell>
          <cell r="B1732" t="str">
            <v>Moyen</v>
          </cell>
          <cell r="D1732" t="str">
            <v>*</v>
          </cell>
          <cell r="F1732">
            <v>1</v>
          </cell>
          <cell r="G1732">
            <v>0</v>
          </cell>
          <cell r="H1732">
            <v>77427</v>
          </cell>
        </row>
        <row r="1733">
          <cell r="A1733">
            <v>4949</v>
          </cell>
          <cell r="B1733" t="str">
            <v>Moyen</v>
          </cell>
          <cell r="D1733" t="str">
            <v>*</v>
          </cell>
          <cell r="F1733">
            <v>1</v>
          </cell>
          <cell r="G1733">
            <v>0</v>
          </cell>
          <cell r="H1733">
            <v>0</v>
          </cell>
        </row>
        <row r="1734">
          <cell r="A1734">
            <v>4950</v>
          </cell>
          <cell r="B1734" t="str">
            <v>Moyen</v>
          </cell>
          <cell r="D1734" t="str">
            <v>*</v>
          </cell>
          <cell r="F1734">
            <v>1</v>
          </cell>
          <cell r="G1734">
            <v>0</v>
          </cell>
          <cell r="H1734">
            <v>0</v>
          </cell>
        </row>
        <row r="1735">
          <cell r="A1735">
            <v>4951</v>
          </cell>
          <cell r="B1735" t="str">
            <v>Moyen</v>
          </cell>
          <cell r="D1735" t="str">
            <v>*</v>
          </cell>
          <cell r="F1735">
            <v>1</v>
          </cell>
          <cell r="G1735">
            <v>0</v>
          </cell>
          <cell r="H1735">
            <v>0</v>
          </cell>
        </row>
        <row r="1736">
          <cell r="A1736">
            <v>4952</v>
          </cell>
          <cell r="B1736" t="str">
            <v>Moyen</v>
          </cell>
          <cell r="D1736" t="str">
            <v>*</v>
          </cell>
          <cell r="F1736">
            <v>1</v>
          </cell>
          <cell r="G1736">
            <v>0</v>
          </cell>
          <cell r="H1736">
            <v>0</v>
          </cell>
        </row>
        <row r="1737">
          <cell r="A1737">
            <v>4953</v>
          </cell>
          <cell r="B1737" t="str">
            <v>Moyen</v>
          </cell>
          <cell r="D1737" t="str">
            <v>*</v>
          </cell>
          <cell r="F1737">
            <v>1</v>
          </cell>
          <cell r="G1737">
            <v>0</v>
          </cell>
          <cell r="H1737">
            <v>0</v>
          </cell>
        </row>
        <row r="1738">
          <cell r="A1738">
            <v>4954</v>
          </cell>
          <cell r="B1738" t="str">
            <v>Moyen</v>
          </cell>
          <cell r="D1738" t="str">
            <v>*</v>
          </cell>
          <cell r="F1738">
            <v>1</v>
          </cell>
          <cell r="G1738">
            <v>0</v>
          </cell>
          <cell r="H1738">
            <v>5563</v>
          </cell>
        </row>
        <row r="1739">
          <cell r="A1739">
            <v>4956</v>
          </cell>
          <cell r="B1739" t="str">
            <v>Moyen</v>
          </cell>
          <cell r="D1739" t="str">
            <v>*</v>
          </cell>
          <cell r="F1739">
            <v>1</v>
          </cell>
          <cell r="G1739">
            <v>0</v>
          </cell>
          <cell r="H1739">
            <v>73935.467427416399</v>
          </cell>
        </row>
        <row r="1740">
          <cell r="A1740">
            <v>4957</v>
          </cell>
          <cell r="B1740" t="str">
            <v>Moyen</v>
          </cell>
          <cell r="D1740" t="str">
            <v>*</v>
          </cell>
          <cell r="F1740">
            <v>1</v>
          </cell>
          <cell r="G1740">
            <v>0</v>
          </cell>
          <cell r="H1740">
            <v>0</v>
          </cell>
        </row>
        <row r="1741">
          <cell r="A1741">
            <v>4958</v>
          </cell>
          <cell r="B1741" t="str">
            <v>Moyen</v>
          </cell>
          <cell r="D1741" t="str">
            <v>*</v>
          </cell>
          <cell r="F1741">
            <v>1</v>
          </cell>
          <cell r="G1741">
            <v>0</v>
          </cell>
          <cell r="H1741">
            <v>38924.488380000003</v>
          </cell>
        </row>
        <row r="1742">
          <cell r="A1742">
            <v>4959</v>
          </cell>
          <cell r="B1742" t="str">
            <v>Moyen</v>
          </cell>
          <cell r="D1742" t="str">
            <v>*</v>
          </cell>
          <cell r="F1742">
            <v>1</v>
          </cell>
          <cell r="G1742">
            <v>0</v>
          </cell>
          <cell r="H1742">
            <v>260841.30105000001</v>
          </cell>
        </row>
        <row r="1743">
          <cell r="A1743">
            <v>4960</v>
          </cell>
          <cell r="B1743" t="str">
            <v>Moyen</v>
          </cell>
          <cell r="D1743" t="str">
            <v>*</v>
          </cell>
          <cell r="F1743">
            <v>1</v>
          </cell>
          <cell r="G1743">
            <v>0</v>
          </cell>
          <cell r="H1743">
            <v>3567.2945730854599</v>
          </cell>
        </row>
        <row r="1744">
          <cell r="A1744">
            <v>4961</v>
          </cell>
          <cell r="B1744" t="str">
            <v>Moyen</v>
          </cell>
          <cell r="D1744" t="str">
            <v>*</v>
          </cell>
          <cell r="F1744">
            <v>1</v>
          </cell>
          <cell r="G1744">
            <v>0</v>
          </cell>
          <cell r="H1744">
            <v>3968.7480903174601</v>
          </cell>
        </row>
        <row r="1745">
          <cell r="A1745">
            <v>4962</v>
          </cell>
          <cell r="B1745" t="str">
            <v>Moyen</v>
          </cell>
          <cell r="D1745" t="str">
            <v>*</v>
          </cell>
          <cell r="F1745">
            <v>1</v>
          </cell>
          <cell r="G1745">
            <v>0</v>
          </cell>
          <cell r="H1745">
            <v>5562.6715402380996</v>
          </cell>
        </row>
        <row r="1746">
          <cell r="A1746">
            <v>4963</v>
          </cell>
          <cell r="B1746" t="str">
            <v>Moyen</v>
          </cell>
          <cell r="D1746" t="str">
            <v>*</v>
          </cell>
          <cell r="F1746">
            <v>1</v>
          </cell>
          <cell r="G1746">
            <v>0</v>
          </cell>
          <cell r="H1746">
            <v>0</v>
          </cell>
        </row>
        <row r="1747">
          <cell r="A1747">
            <v>4964</v>
          </cell>
          <cell r="B1747" t="str">
            <v>Moyen</v>
          </cell>
          <cell r="D1747" t="str">
            <v>*</v>
          </cell>
          <cell r="F1747">
            <v>1</v>
          </cell>
          <cell r="G1747">
            <v>0</v>
          </cell>
          <cell r="H1747">
            <v>0</v>
          </cell>
        </row>
        <row r="1748">
          <cell r="A1748">
            <v>4966</v>
          </cell>
          <cell r="B1748" t="str">
            <v>Moyen</v>
          </cell>
          <cell r="D1748" t="str">
            <v>*</v>
          </cell>
          <cell r="F1748">
            <v>1</v>
          </cell>
          <cell r="G1748">
            <v>0</v>
          </cell>
          <cell r="H1748">
            <v>0</v>
          </cell>
        </row>
        <row r="1749">
          <cell r="A1749">
            <v>4967</v>
          </cell>
          <cell r="B1749" t="str">
            <v>Moyen</v>
          </cell>
          <cell r="D1749" t="str">
            <v>*</v>
          </cell>
          <cell r="F1749">
            <v>1</v>
          </cell>
          <cell r="G1749">
            <v>0</v>
          </cell>
          <cell r="H1749">
            <v>0</v>
          </cell>
        </row>
        <row r="1750">
          <cell r="A1750">
            <v>4968</v>
          </cell>
          <cell r="B1750" t="str">
            <v>Moyen</v>
          </cell>
          <cell r="D1750" t="str">
            <v>*</v>
          </cell>
          <cell r="F1750">
            <v>1</v>
          </cell>
          <cell r="G1750">
            <v>0</v>
          </cell>
          <cell r="H1750">
            <v>0</v>
          </cell>
        </row>
        <row r="1751">
          <cell r="A1751">
            <v>4969</v>
          </cell>
          <cell r="B1751" t="str">
            <v>Moyen</v>
          </cell>
          <cell r="D1751" t="str">
            <v>*</v>
          </cell>
          <cell r="F1751">
            <v>1</v>
          </cell>
          <cell r="G1751">
            <v>0</v>
          </cell>
          <cell r="H1751">
            <v>0</v>
          </cell>
        </row>
        <row r="1752">
          <cell r="A1752">
            <v>4970</v>
          </cell>
          <cell r="B1752" t="str">
            <v>Moyen</v>
          </cell>
          <cell r="D1752" t="str">
            <v>*</v>
          </cell>
          <cell r="F1752">
            <v>1</v>
          </cell>
          <cell r="G1752">
            <v>0</v>
          </cell>
          <cell r="H1752">
            <v>0</v>
          </cell>
        </row>
        <row r="1753">
          <cell r="A1753">
            <v>4971</v>
          </cell>
          <cell r="B1753" t="str">
            <v>Moyen</v>
          </cell>
          <cell r="D1753" t="str">
            <v>*</v>
          </cell>
          <cell r="F1753">
            <v>1</v>
          </cell>
          <cell r="G1753">
            <v>0</v>
          </cell>
          <cell r="H1753">
            <v>0</v>
          </cell>
        </row>
        <row r="1754">
          <cell r="A1754">
            <v>4972</v>
          </cell>
          <cell r="B1754" t="str">
            <v>Moyen</v>
          </cell>
          <cell r="D1754" t="str">
            <v>*</v>
          </cell>
          <cell r="F1754">
            <v>1</v>
          </cell>
          <cell r="G1754">
            <v>0</v>
          </cell>
          <cell r="H1754">
            <v>0</v>
          </cell>
        </row>
        <row r="1755">
          <cell r="A1755">
            <v>4973</v>
          </cell>
          <cell r="B1755" t="str">
            <v>Moyen</v>
          </cell>
          <cell r="D1755" t="str">
            <v>*</v>
          </cell>
          <cell r="F1755">
            <v>1</v>
          </cell>
          <cell r="G1755">
            <v>0</v>
          </cell>
          <cell r="H1755">
            <v>0</v>
          </cell>
        </row>
        <row r="1756">
          <cell r="A1756">
            <v>4974</v>
          </cell>
          <cell r="B1756" t="str">
            <v>Moyen</v>
          </cell>
          <cell r="D1756" t="str">
            <v>*</v>
          </cell>
          <cell r="F1756">
            <v>1</v>
          </cell>
          <cell r="G1756">
            <v>0</v>
          </cell>
          <cell r="H1756">
            <v>0</v>
          </cell>
        </row>
        <row r="1757">
          <cell r="A1757">
            <v>4975</v>
          </cell>
          <cell r="B1757" t="str">
            <v>Moyen</v>
          </cell>
          <cell r="D1757" t="str">
            <v>*</v>
          </cell>
          <cell r="F1757">
            <v>1</v>
          </cell>
          <cell r="G1757">
            <v>0</v>
          </cell>
          <cell r="H1757">
            <v>0</v>
          </cell>
        </row>
        <row r="1758">
          <cell r="A1758">
            <v>4976</v>
          </cell>
          <cell r="B1758" t="str">
            <v>Moyen</v>
          </cell>
          <cell r="D1758" t="str">
            <v>*</v>
          </cell>
          <cell r="F1758">
            <v>1</v>
          </cell>
          <cell r="G1758">
            <v>0</v>
          </cell>
          <cell r="H1758">
            <v>0</v>
          </cell>
        </row>
        <row r="1759">
          <cell r="A1759">
            <v>4977</v>
          </cell>
          <cell r="B1759" t="str">
            <v>Moyen</v>
          </cell>
          <cell r="D1759" t="str">
            <v>*</v>
          </cell>
          <cell r="F1759">
            <v>1</v>
          </cell>
          <cell r="G1759">
            <v>0</v>
          </cell>
          <cell r="H1759">
            <v>0</v>
          </cell>
        </row>
        <row r="1760">
          <cell r="A1760">
            <v>4978</v>
          </cell>
          <cell r="B1760" t="str">
            <v>Moyen</v>
          </cell>
          <cell r="D1760" t="str">
            <v>*</v>
          </cell>
          <cell r="F1760">
            <v>1</v>
          </cell>
          <cell r="G1760">
            <v>0</v>
          </cell>
          <cell r="H1760">
            <v>0</v>
          </cell>
        </row>
        <row r="1761">
          <cell r="A1761">
            <v>4979</v>
          </cell>
          <cell r="B1761" t="str">
            <v>Moyen</v>
          </cell>
          <cell r="D1761" t="str">
            <v>*</v>
          </cell>
          <cell r="F1761">
            <v>1</v>
          </cell>
          <cell r="G1761">
            <v>0</v>
          </cell>
          <cell r="H1761">
            <v>0</v>
          </cell>
        </row>
        <row r="1762">
          <cell r="A1762">
            <v>5058</v>
          </cell>
          <cell r="B1762" t="str">
            <v>Moyen</v>
          </cell>
          <cell r="D1762" t="str">
            <v>*</v>
          </cell>
          <cell r="E1762" t="str">
            <v>*</v>
          </cell>
          <cell r="F1762">
            <v>1</v>
          </cell>
          <cell r="G1762">
            <v>0</v>
          </cell>
          <cell r="H1762">
            <v>0</v>
          </cell>
        </row>
        <row r="1763">
          <cell r="A1763">
            <v>5059</v>
          </cell>
          <cell r="B1763" t="str">
            <v>Moyen</v>
          </cell>
          <cell r="D1763" t="str">
            <v>*</v>
          </cell>
          <cell r="E1763" t="str">
            <v>*</v>
          </cell>
          <cell r="F1763">
            <v>1</v>
          </cell>
          <cell r="G1763">
            <v>0</v>
          </cell>
          <cell r="H1763">
            <v>0</v>
          </cell>
        </row>
        <row r="1764">
          <cell r="A1764">
            <v>5060</v>
          </cell>
          <cell r="B1764" t="str">
            <v>Moyen</v>
          </cell>
          <cell r="D1764" t="str">
            <v>*</v>
          </cell>
          <cell r="E1764" t="str">
            <v>*</v>
          </cell>
          <cell r="F1764">
            <v>1</v>
          </cell>
          <cell r="G1764">
            <v>0</v>
          </cell>
          <cell r="H1764">
            <v>0</v>
          </cell>
        </row>
        <row r="1765">
          <cell r="A1765">
            <v>5061</v>
          </cell>
          <cell r="B1765" t="str">
            <v>Moyen</v>
          </cell>
          <cell r="D1765" t="str">
            <v>*</v>
          </cell>
          <cell r="E1765" t="str">
            <v>*</v>
          </cell>
          <cell r="F1765">
            <v>1</v>
          </cell>
          <cell r="G1765">
            <v>0</v>
          </cell>
          <cell r="H1765">
            <v>0</v>
          </cell>
        </row>
        <row r="1766">
          <cell r="A1766">
            <v>5062</v>
          </cell>
          <cell r="B1766" t="str">
            <v>Moyen</v>
          </cell>
          <cell r="D1766" t="str">
            <v>*</v>
          </cell>
          <cell r="E1766" t="str">
            <v>*</v>
          </cell>
          <cell r="F1766">
            <v>1</v>
          </cell>
          <cell r="G1766">
            <v>0</v>
          </cell>
          <cell r="H1766">
            <v>0</v>
          </cell>
        </row>
        <row r="1767">
          <cell r="A1767">
            <v>5063</v>
          </cell>
          <cell r="B1767" t="str">
            <v>Moyen</v>
          </cell>
          <cell r="D1767" t="str">
            <v>*</v>
          </cell>
          <cell r="E1767" t="str">
            <v>*</v>
          </cell>
          <cell r="F1767">
            <v>1</v>
          </cell>
          <cell r="G1767">
            <v>0</v>
          </cell>
          <cell r="H1767">
            <v>0</v>
          </cell>
        </row>
        <row r="1768">
          <cell r="A1768">
            <v>5064</v>
          </cell>
          <cell r="B1768" t="str">
            <v>Moyen</v>
          </cell>
          <cell r="D1768" t="str">
            <v>*</v>
          </cell>
          <cell r="E1768" t="str">
            <v>*</v>
          </cell>
          <cell r="F1768">
            <v>1</v>
          </cell>
          <cell r="G1768">
            <v>0</v>
          </cell>
          <cell r="H1768">
            <v>0</v>
          </cell>
        </row>
        <row r="1769">
          <cell r="A1769">
            <v>5065</v>
          </cell>
          <cell r="B1769" t="str">
            <v>Moyen</v>
          </cell>
          <cell r="D1769" t="str">
            <v>*</v>
          </cell>
          <cell r="E1769" t="str">
            <v>*</v>
          </cell>
          <cell r="F1769">
            <v>1</v>
          </cell>
          <cell r="G1769">
            <v>0</v>
          </cell>
          <cell r="H1769">
            <v>0</v>
          </cell>
        </row>
        <row r="1770">
          <cell r="A1770">
            <v>5066</v>
          </cell>
          <cell r="B1770" t="str">
            <v>Moyen</v>
          </cell>
          <cell r="D1770" t="str">
            <v>*</v>
          </cell>
          <cell r="E1770" t="str">
            <v>*</v>
          </cell>
          <cell r="F1770">
            <v>1</v>
          </cell>
          <cell r="G1770">
            <v>0</v>
          </cell>
          <cell r="H1770">
            <v>0</v>
          </cell>
        </row>
        <row r="1771">
          <cell r="A1771">
            <v>5861</v>
          </cell>
          <cell r="B1771" t="str">
            <v>Moyen</v>
          </cell>
          <cell r="D1771" t="str">
            <v>*</v>
          </cell>
          <cell r="F1771">
            <v>1</v>
          </cell>
          <cell r="G1771">
            <v>0</v>
          </cell>
          <cell r="H1771">
            <v>950</v>
          </cell>
        </row>
        <row r="1772">
          <cell r="A1772">
            <v>5862</v>
          </cell>
          <cell r="B1772" t="str">
            <v>Moyen</v>
          </cell>
          <cell r="D1772" t="str">
            <v>*</v>
          </cell>
          <cell r="F1772">
            <v>1</v>
          </cell>
          <cell r="G1772">
            <v>0</v>
          </cell>
          <cell r="H1772">
            <v>950</v>
          </cell>
        </row>
        <row r="1773">
          <cell r="A1773">
            <v>30007</v>
          </cell>
          <cell r="B1773" t="str">
            <v>Moyen</v>
          </cell>
          <cell r="D1773" t="str">
            <v>*</v>
          </cell>
          <cell r="F1773">
            <v>1</v>
          </cell>
          <cell r="G1773">
            <v>0</v>
          </cell>
          <cell r="H1773">
            <v>0</v>
          </cell>
        </row>
        <row r="1774">
          <cell r="A1774">
            <v>30009</v>
          </cell>
          <cell r="B1774" t="str">
            <v>Moyen</v>
          </cell>
          <cell r="D1774" t="str">
            <v>*</v>
          </cell>
          <cell r="F1774">
            <v>1</v>
          </cell>
          <cell r="G1774">
            <v>0</v>
          </cell>
          <cell r="H1774">
            <v>10</v>
          </cell>
        </row>
        <row r="1775">
          <cell r="A1775">
            <v>30010</v>
          </cell>
          <cell r="B1775" t="str">
            <v>Moyen</v>
          </cell>
          <cell r="D1775" t="str">
            <v>*</v>
          </cell>
          <cell r="F1775">
            <v>1</v>
          </cell>
          <cell r="G1775">
            <v>0</v>
          </cell>
          <cell r="H1775">
            <v>0</v>
          </cell>
        </row>
        <row r="1776">
          <cell r="A1776">
            <v>30011</v>
          </cell>
          <cell r="B1776" t="str">
            <v>Moyen</v>
          </cell>
          <cell r="D1776" t="str">
            <v>*</v>
          </cell>
          <cell r="F1776">
            <v>1</v>
          </cell>
          <cell r="G1776">
            <v>0</v>
          </cell>
          <cell r="H1776">
            <v>0</v>
          </cell>
        </row>
        <row r="1777">
          <cell r="A1777">
            <v>30012</v>
          </cell>
          <cell r="B1777" t="str">
            <v>Moyen</v>
          </cell>
          <cell r="D1777" t="str">
            <v>*</v>
          </cell>
          <cell r="F1777">
            <v>1</v>
          </cell>
          <cell r="G1777">
            <v>0</v>
          </cell>
          <cell r="H1777">
            <v>0</v>
          </cell>
        </row>
        <row r="1778">
          <cell r="A1778">
            <v>30013</v>
          </cell>
          <cell r="B1778" t="str">
            <v>Moyen</v>
          </cell>
          <cell r="D1778" t="str">
            <v>*</v>
          </cell>
          <cell r="F1778">
            <v>1</v>
          </cell>
          <cell r="G1778">
            <v>0</v>
          </cell>
          <cell r="H1778">
            <v>15198.52369</v>
          </cell>
        </row>
        <row r="1779">
          <cell r="A1779">
            <v>30014</v>
          </cell>
          <cell r="B1779" t="str">
            <v>Moyen</v>
          </cell>
          <cell r="D1779" t="str">
            <v>*</v>
          </cell>
          <cell r="F1779">
            <v>1</v>
          </cell>
          <cell r="G1779">
            <v>0</v>
          </cell>
          <cell r="H1779">
            <v>0</v>
          </cell>
        </row>
        <row r="1780">
          <cell r="A1780">
            <v>30015</v>
          </cell>
          <cell r="B1780" t="str">
            <v>Moyen</v>
          </cell>
          <cell r="D1780" t="str">
            <v>*</v>
          </cell>
          <cell r="F1780">
            <v>1</v>
          </cell>
          <cell r="G1780">
            <v>0</v>
          </cell>
          <cell r="H1780">
            <v>0</v>
          </cell>
        </row>
        <row r="1781">
          <cell r="A1781">
            <v>30016</v>
          </cell>
          <cell r="B1781" t="str">
            <v>Moyen</v>
          </cell>
          <cell r="D1781" t="str">
            <v>*</v>
          </cell>
          <cell r="F1781">
            <v>1</v>
          </cell>
          <cell r="G1781">
            <v>0</v>
          </cell>
          <cell r="H1781">
            <v>0</v>
          </cell>
        </row>
        <row r="1782">
          <cell r="A1782">
            <v>30017</v>
          </cell>
          <cell r="B1782" t="str">
            <v>Moyen</v>
          </cell>
          <cell r="D1782" t="str">
            <v>*</v>
          </cell>
          <cell r="F1782">
            <v>1</v>
          </cell>
          <cell r="G1782">
            <v>0</v>
          </cell>
          <cell r="H1782">
            <v>0</v>
          </cell>
        </row>
        <row r="1783">
          <cell r="A1783">
            <v>30018</v>
          </cell>
          <cell r="B1783" t="str">
            <v>Moyen</v>
          </cell>
          <cell r="D1783" t="str">
            <v>*</v>
          </cell>
          <cell r="F1783">
            <v>1</v>
          </cell>
          <cell r="G1783">
            <v>0</v>
          </cell>
          <cell r="H1783">
            <v>33069.433490076102</v>
          </cell>
        </row>
        <row r="1784">
          <cell r="A1784">
            <v>30019</v>
          </cell>
          <cell r="B1784" t="str">
            <v>Moyen</v>
          </cell>
          <cell r="D1784" t="str">
            <v>*</v>
          </cell>
          <cell r="F1784">
            <v>1</v>
          </cell>
          <cell r="G1784">
            <v>0</v>
          </cell>
          <cell r="H1784">
            <v>1956296.0768762</v>
          </cell>
        </row>
        <row r="1785">
          <cell r="A1785">
            <v>30020</v>
          </cell>
          <cell r="B1785" t="str">
            <v>Moyen</v>
          </cell>
          <cell r="D1785" t="str">
            <v>*</v>
          </cell>
          <cell r="F1785">
            <v>1</v>
          </cell>
          <cell r="G1785">
            <v>0</v>
          </cell>
          <cell r="H1785">
            <v>0</v>
          </cell>
        </row>
        <row r="1786">
          <cell r="A1786">
            <v>30025</v>
          </cell>
          <cell r="B1786" t="str">
            <v>Moyen</v>
          </cell>
          <cell r="D1786" t="str">
            <v>*</v>
          </cell>
          <cell r="F1786">
            <v>1</v>
          </cell>
          <cell r="G1786">
            <v>0</v>
          </cell>
          <cell r="H1786">
            <v>0</v>
          </cell>
        </row>
        <row r="1787">
          <cell r="A1787">
            <v>30026</v>
          </cell>
          <cell r="B1787" t="str">
            <v>Moyen</v>
          </cell>
          <cell r="D1787" t="str">
            <v>*</v>
          </cell>
          <cell r="F1787">
            <v>1</v>
          </cell>
          <cell r="G1787">
            <v>0</v>
          </cell>
          <cell r="H1787">
            <v>0</v>
          </cell>
        </row>
        <row r="1788">
          <cell r="A1788">
            <v>30034</v>
          </cell>
          <cell r="B1788" t="str">
            <v>Moyen</v>
          </cell>
          <cell r="D1788" t="str">
            <v>*</v>
          </cell>
          <cell r="F1788">
            <v>1</v>
          </cell>
          <cell r="G1788">
            <v>0</v>
          </cell>
          <cell r="H1788">
            <v>0</v>
          </cell>
        </row>
        <row r="1789">
          <cell r="A1789">
            <v>30035</v>
          </cell>
          <cell r="B1789" t="str">
            <v>Moyen</v>
          </cell>
          <cell r="D1789" t="str">
            <v>*</v>
          </cell>
          <cell r="F1789">
            <v>1</v>
          </cell>
          <cell r="G1789">
            <v>0</v>
          </cell>
          <cell r="H1789">
            <v>0</v>
          </cell>
        </row>
        <row r="1790">
          <cell r="A1790">
            <v>30036</v>
          </cell>
          <cell r="B1790" t="str">
            <v>Moyen</v>
          </cell>
          <cell r="D1790" t="str">
            <v>*</v>
          </cell>
          <cell r="F1790">
            <v>1</v>
          </cell>
          <cell r="G1790">
            <v>0</v>
          </cell>
          <cell r="H1790">
            <v>0</v>
          </cell>
        </row>
        <row r="1791">
          <cell r="A1791">
            <v>30037</v>
          </cell>
          <cell r="B1791" t="str">
            <v>Moyen</v>
          </cell>
          <cell r="D1791" t="str">
            <v>*</v>
          </cell>
          <cell r="F1791">
            <v>1</v>
          </cell>
          <cell r="G1791">
            <v>0</v>
          </cell>
          <cell r="H1791">
            <v>0</v>
          </cell>
        </row>
        <row r="1792">
          <cell r="A1792">
            <v>30038</v>
          </cell>
          <cell r="B1792" t="str">
            <v>Moyen</v>
          </cell>
          <cell r="D1792" t="str">
            <v>*</v>
          </cell>
          <cell r="F1792">
            <v>1</v>
          </cell>
          <cell r="G1792">
            <v>0</v>
          </cell>
          <cell r="H1792">
            <v>0</v>
          </cell>
        </row>
        <row r="1793">
          <cell r="A1793">
            <v>30039</v>
          </cell>
          <cell r="B1793" t="str">
            <v>Moyen</v>
          </cell>
          <cell r="D1793" t="str">
            <v>*</v>
          </cell>
          <cell r="F1793">
            <v>1</v>
          </cell>
          <cell r="G1793">
            <v>0</v>
          </cell>
          <cell r="H1793">
            <v>0</v>
          </cell>
        </row>
        <row r="1794">
          <cell r="A1794">
            <v>30040</v>
          </cell>
          <cell r="B1794" t="str">
            <v>Moyen</v>
          </cell>
          <cell r="D1794" t="str">
            <v>*</v>
          </cell>
          <cell r="F1794">
            <v>1</v>
          </cell>
          <cell r="G1794">
            <v>0</v>
          </cell>
          <cell r="H1794">
            <v>0</v>
          </cell>
        </row>
        <row r="1795">
          <cell r="A1795">
            <v>30041</v>
          </cell>
          <cell r="B1795" t="str">
            <v>Moyen</v>
          </cell>
          <cell r="D1795" t="str">
            <v>*</v>
          </cell>
          <cell r="F1795">
            <v>1</v>
          </cell>
          <cell r="G1795">
            <v>0</v>
          </cell>
          <cell r="H1795">
            <v>42264.736363636301</v>
          </cell>
        </row>
        <row r="1796">
          <cell r="A1796">
            <v>30042</v>
          </cell>
          <cell r="B1796" t="str">
            <v>Moyen</v>
          </cell>
          <cell r="D1796" t="str">
            <v>*</v>
          </cell>
          <cell r="F1796">
            <v>1</v>
          </cell>
          <cell r="G1796">
            <v>0</v>
          </cell>
          <cell r="H1796">
            <v>598318.69999999995</v>
          </cell>
        </row>
        <row r="1797">
          <cell r="A1797">
            <v>30043</v>
          </cell>
          <cell r="B1797" t="str">
            <v>Moyen</v>
          </cell>
          <cell r="D1797" t="str">
            <v>*</v>
          </cell>
          <cell r="F1797">
            <v>1</v>
          </cell>
          <cell r="G1797">
            <v>0</v>
          </cell>
          <cell r="H1797">
            <v>0</v>
          </cell>
        </row>
        <row r="1798">
          <cell r="A1798">
            <v>30044</v>
          </cell>
          <cell r="B1798" t="str">
            <v>Moyen</v>
          </cell>
          <cell r="D1798" t="str">
            <v>*</v>
          </cell>
          <cell r="F1798">
            <v>1</v>
          </cell>
          <cell r="G1798">
            <v>0</v>
          </cell>
          <cell r="H1798">
            <v>0</v>
          </cell>
        </row>
        <row r="1799">
          <cell r="A1799">
            <v>30045</v>
          </cell>
          <cell r="B1799" t="str">
            <v>Moyen</v>
          </cell>
          <cell r="D1799" t="str">
            <v>*</v>
          </cell>
          <cell r="F1799">
            <v>1</v>
          </cell>
          <cell r="G1799">
            <v>0</v>
          </cell>
          <cell r="H1799">
            <v>0</v>
          </cell>
        </row>
        <row r="1800">
          <cell r="A1800">
            <v>30046</v>
          </cell>
          <cell r="B1800" t="str">
            <v>Moyen</v>
          </cell>
          <cell r="D1800" t="str">
            <v>*</v>
          </cell>
          <cell r="F1800">
            <v>1</v>
          </cell>
          <cell r="G1800">
            <v>0</v>
          </cell>
          <cell r="H1800">
            <v>0</v>
          </cell>
        </row>
        <row r="1801">
          <cell r="A1801">
            <v>30051</v>
          </cell>
          <cell r="B1801" t="str">
            <v>Moyen</v>
          </cell>
          <cell r="D1801" t="str">
            <v>*</v>
          </cell>
          <cell r="F1801">
            <v>1</v>
          </cell>
          <cell r="G1801">
            <v>0</v>
          </cell>
          <cell r="H1801">
            <v>0</v>
          </cell>
        </row>
        <row r="1802">
          <cell r="A1802">
            <v>30056</v>
          </cell>
          <cell r="B1802" t="str">
            <v>Moyen</v>
          </cell>
          <cell r="D1802" t="str">
            <v>*</v>
          </cell>
          <cell r="F1802">
            <v>1</v>
          </cell>
          <cell r="G1802">
            <v>0</v>
          </cell>
          <cell r="H1802">
            <v>0</v>
          </cell>
        </row>
        <row r="1803">
          <cell r="A1803">
            <v>30057</v>
          </cell>
          <cell r="B1803" t="str">
            <v>Moyen</v>
          </cell>
          <cell r="D1803" t="str">
            <v>*</v>
          </cell>
          <cell r="F1803">
            <v>1</v>
          </cell>
          <cell r="G1803">
            <v>0</v>
          </cell>
          <cell r="H1803">
            <v>0</v>
          </cell>
        </row>
        <row r="1804">
          <cell r="A1804">
            <v>30058</v>
          </cell>
          <cell r="B1804" t="str">
            <v>Moyen</v>
          </cell>
          <cell r="D1804" t="str">
            <v>*</v>
          </cell>
          <cell r="F1804">
            <v>1</v>
          </cell>
          <cell r="G1804">
            <v>0</v>
          </cell>
          <cell r="H1804">
            <v>5805</v>
          </cell>
        </row>
        <row r="1805">
          <cell r="A1805">
            <v>30059</v>
          </cell>
          <cell r="B1805" t="str">
            <v>Moyen</v>
          </cell>
          <cell r="D1805" t="str">
            <v>*</v>
          </cell>
          <cell r="F1805">
            <v>1</v>
          </cell>
          <cell r="G1805">
            <v>0</v>
          </cell>
          <cell r="H1805">
            <v>2682.7613168724201</v>
          </cell>
        </row>
        <row r="1806">
          <cell r="A1806">
            <v>30060</v>
          </cell>
          <cell r="B1806" t="str">
            <v>Moyen</v>
          </cell>
          <cell r="D1806" t="str">
            <v>*</v>
          </cell>
          <cell r="F1806">
            <v>1</v>
          </cell>
          <cell r="G1806">
            <v>0</v>
          </cell>
          <cell r="H1806">
            <v>0</v>
          </cell>
        </row>
        <row r="1807">
          <cell r="A1807">
            <v>30061</v>
          </cell>
          <cell r="B1807" t="str">
            <v>Moyen</v>
          </cell>
          <cell r="D1807" t="str">
            <v>*</v>
          </cell>
          <cell r="F1807">
            <v>1</v>
          </cell>
          <cell r="G1807">
            <v>0</v>
          </cell>
          <cell r="H1807">
            <v>109357.87</v>
          </cell>
        </row>
        <row r="1808">
          <cell r="A1808">
            <v>30066</v>
          </cell>
          <cell r="B1808" t="str">
            <v>Moyen</v>
          </cell>
          <cell r="D1808" t="str">
            <v>*</v>
          </cell>
          <cell r="F1808">
            <v>1</v>
          </cell>
          <cell r="G1808">
            <v>0</v>
          </cell>
          <cell r="H1808">
            <v>0</v>
          </cell>
        </row>
        <row r="1809">
          <cell r="A1809">
            <v>30067</v>
          </cell>
          <cell r="B1809" t="str">
            <v>Moyen</v>
          </cell>
          <cell r="D1809" t="str">
            <v>*</v>
          </cell>
          <cell r="F1809">
            <v>1</v>
          </cell>
          <cell r="G1809">
            <v>0</v>
          </cell>
          <cell r="H1809">
            <v>0</v>
          </cell>
        </row>
        <row r="1810">
          <cell r="A1810">
            <v>30068</v>
          </cell>
          <cell r="B1810" t="str">
            <v>Moyen</v>
          </cell>
          <cell r="D1810" t="str">
            <v>*</v>
          </cell>
          <cell r="F1810">
            <v>1</v>
          </cell>
          <cell r="G1810">
            <v>0</v>
          </cell>
          <cell r="H1810">
            <v>0</v>
          </cell>
        </row>
        <row r="1811">
          <cell r="A1811">
            <v>30069</v>
          </cell>
          <cell r="B1811" t="str">
            <v>Moyen</v>
          </cell>
          <cell r="D1811" t="str">
            <v>*</v>
          </cell>
          <cell r="F1811">
            <v>1</v>
          </cell>
          <cell r="G1811">
            <v>0</v>
          </cell>
          <cell r="H1811">
            <v>60</v>
          </cell>
        </row>
        <row r="1812">
          <cell r="A1812">
            <v>30072</v>
          </cell>
          <cell r="B1812" t="str">
            <v>Moyen</v>
          </cell>
          <cell r="D1812" t="str">
            <v>*</v>
          </cell>
          <cell r="F1812">
            <v>1</v>
          </cell>
          <cell r="G1812">
            <v>0</v>
          </cell>
          <cell r="H1812">
            <v>614169.41029706004</v>
          </cell>
        </row>
        <row r="1813">
          <cell r="A1813">
            <v>30073</v>
          </cell>
          <cell r="B1813" t="str">
            <v>Moyen</v>
          </cell>
          <cell r="D1813" t="str">
            <v>*</v>
          </cell>
          <cell r="F1813">
            <v>1</v>
          </cell>
          <cell r="G1813">
            <v>0</v>
          </cell>
          <cell r="H1813">
            <v>0</v>
          </cell>
        </row>
        <row r="1814">
          <cell r="A1814">
            <v>30074</v>
          </cell>
          <cell r="B1814" t="str">
            <v>Moyen</v>
          </cell>
          <cell r="D1814" t="str">
            <v>*</v>
          </cell>
          <cell r="F1814">
            <v>1</v>
          </cell>
          <cell r="G1814">
            <v>0</v>
          </cell>
          <cell r="H1814">
            <v>0</v>
          </cell>
        </row>
        <row r="1815">
          <cell r="A1815">
            <v>30078</v>
          </cell>
          <cell r="B1815" t="str">
            <v>Moyen</v>
          </cell>
          <cell r="D1815" t="str">
            <v>*</v>
          </cell>
          <cell r="F1815">
            <v>1</v>
          </cell>
          <cell r="G1815">
            <v>0</v>
          </cell>
          <cell r="H1815">
            <v>0</v>
          </cell>
        </row>
        <row r="1816">
          <cell r="A1816">
            <v>30079</v>
          </cell>
          <cell r="B1816" t="str">
            <v>Moyen</v>
          </cell>
          <cell r="D1816" t="str">
            <v>*</v>
          </cell>
          <cell r="F1816">
            <v>1</v>
          </cell>
          <cell r="G1816">
            <v>0</v>
          </cell>
          <cell r="H1816">
            <v>10000</v>
          </cell>
        </row>
        <row r="1817">
          <cell r="A1817">
            <v>30080</v>
          </cell>
          <cell r="B1817" t="str">
            <v>Moyen</v>
          </cell>
          <cell r="D1817" t="str">
            <v>*</v>
          </cell>
          <cell r="F1817">
            <v>1</v>
          </cell>
          <cell r="G1817">
            <v>0</v>
          </cell>
          <cell r="H1817">
            <v>2500</v>
          </cell>
        </row>
        <row r="1818">
          <cell r="A1818">
            <v>30081</v>
          </cell>
          <cell r="B1818" t="str">
            <v>Moyen</v>
          </cell>
          <cell r="D1818" t="str">
            <v>*</v>
          </cell>
          <cell r="F1818">
            <v>1</v>
          </cell>
          <cell r="G1818">
            <v>0</v>
          </cell>
          <cell r="H1818">
            <v>149000.632552336</v>
          </cell>
        </row>
        <row r="1819">
          <cell r="A1819">
            <v>30085</v>
          </cell>
          <cell r="B1819" t="str">
            <v>Moyen</v>
          </cell>
          <cell r="D1819" t="str">
            <v>*</v>
          </cell>
          <cell r="F1819">
            <v>1</v>
          </cell>
          <cell r="G1819">
            <v>0</v>
          </cell>
          <cell r="H1819">
            <v>207050.66899999999</v>
          </cell>
        </row>
        <row r="1820">
          <cell r="A1820">
            <v>30086</v>
          </cell>
          <cell r="B1820" t="str">
            <v>Moyen</v>
          </cell>
          <cell r="D1820" t="str">
            <v>*</v>
          </cell>
          <cell r="F1820">
            <v>1</v>
          </cell>
          <cell r="G1820">
            <v>0</v>
          </cell>
          <cell r="H1820">
            <v>1883252.547</v>
          </cell>
        </row>
        <row r="1821">
          <cell r="A1821">
            <v>30087</v>
          </cell>
          <cell r="B1821" t="str">
            <v>Moyen</v>
          </cell>
          <cell r="D1821" t="str">
            <v>*</v>
          </cell>
          <cell r="F1821">
            <v>1</v>
          </cell>
          <cell r="G1821">
            <v>0</v>
          </cell>
          <cell r="H1821">
            <v>0</v>
          </cell>
        </row>
        <row r="1822">
          <cell r="A1822">
            <v>30088</v>
          </cell>
          <cell r="B1822" t="str">
            <v>Moyen</v>
          </cell>
          <cell r="D1822" t="str">
            <v>*</v>
          </cell>
          <cell r="F1822">
            <v>1</v>
          </cell>
          <cell r="G1822">
            <v>0</v>
          </cell>
          <cell r="H1822">
            <v>0</v>
          </cell>
        </row>
        <row r="1823">
          <cell r="A1823">
            <v>30089</v>
          </cell>
          <cell r="B1823" t="str">
            <v>Moyen</v>
          </cell>
          <cell r="D1823" t="str">
            <v>*</v>
          </cell>
          <cell r="F1823">
            <v>1</v>
          </cell>
          <cell r="G1823">
            <v>0</v>
          </cell>
          <cell r="H1823">
            <v>1900</v>
          </cell>
        </row>
        <row r="1824">
          <cell r="A1824">
            <v>30092</v>
          </cell>
          <cell r="B1824" t="str">
            <v>Moyen</v>
          </cell>
          <cell r="D1824" t="str">
            <v>*</v>
          </cell>
          <cell r="F1824">
            <v>1</v>
          </cell>
          <cell r="G1824">
            <v>0</v>
          </cell>
          <cell r="H1824">
            <v>35812.214</v>
          </cell>
        </row>
        <row r="1825">
          <cell r="A1825">
            <v>30093</v>
          </cell>
          <cell r="B1825" t="str">
            <v>Moyen</v>
          </cell>
          <cell r="D1825" t="str">
            <v>*</v>
          </cell>
          <cell r="F1825">
            <v>1</v>
          </cell>
          <cell r="G1825">
            <v>0</v>
          </cell>
          <cell r="H1825">
            <v>0</v>
          </cell>
        </row>
        <row r="1826">
          <cell r="A1826">
            <v>30094</v>
          </cell>
          <cell r="B1826" t="str">
            <v>Moyen</v>
          </cell>
          <cell r="D1826" t="str">
            <v>*</v>
          </cell>
          <cell r="F1826">
            <v>1</v>
          </cell>
          <cell r="G1826">
            <v>0</v>
          </cell>
          <cell r="H1826">
            <v>2099</v>
          </cell>
        </row>
        <row r="1827">
          <cell r="A1827">
            <v>30095</v>
          </cell>
          <cell r="B1827" t="str">
            <v>Moyen</v>
          </cell>
          <cell r="D1827" t="str">
            <v>*</v>
          </cell>
          <cell r="F1827">
            <v>1</v>
          </cell>
          <cell r="G1827">
            <v>0</v>
          </cell>
          <cell r="H1827">
            <v>1069</v>
          </cell>
        </row>
        <row r="1828">
          <cell r="A1828">
            <v>30096</v>
          </cell>
          <cell r="B1828" t="str">
            <v>Moyen</v>
          </cell>
          <cell r="D1828" t="str">
            <v>*</v>
          </cell>
          <cell r="F1828">
            <v>1</v>
          </cell>
          <cell r="G1828">
            <v>0</v>
          </cell>
          <cell r="H1828">
            <v>0</v>
          </cell>
        </row>
        <row r="1829">
          <cell r="A1829">
            <v>30097</v>
          </cell>
          <cell r="B1829" t="str">
            <v>Moyen</v>
          </cell>
          <cell r="D1829" t="str">
            <v>*</v>
          </cell>
          <cell r="F1829">
            <v>1</v>
          </cell>
          <cell r="G1829">
            <v>0</v>
          </cell>
          <cell r="H1829">
            <v>13500</v>
          </cell>
        </row>
        <row r="1830">
          <cell r="A1830">
            <v>30098</v>
          </cell>
          <cell r="B1830" t="str">
            <v>Moyen</v>
          </cell>
          <cell r="D1830" t="str">
            <v>*</v>
          </cell>
          <cell r="F1830">
            <v>1</v>
          </cell>
          <cell r="G1830">
            <v>0</v>
          </cell>
          <cell r="H1830">
            <v>0</v>
          </cell>
        </row>
        <row r="1831">
          <cell r="A1831">
            <v>30099</v>
          </cell>
          <cell r="B1831" t="str">
            <v>Moyen</v>
          </cell>
          <cell r="D1831" t="str">
            <v>*</v>
          </cell>
          <cell r="F1831">
            <v>1</v>
          </cell>
          <cell r="G1831">
            <v>0</v>
          </cell>
          <cell r="H1831">
            <v>0</v>
          </cell>
        </row>
        <row r="1832">
          <cell r="A1832">
            <v>30100</v>
          </cell>
          <cell r="B1832" t="str">
            <v>Moyen</v>
          </cell>
          <cell r="D1832" t="str">
            <v>*</v>
          </cell>
          <cell r="F1832">
            <v>1</v>
          </cell>
          <cell r="G1832">
            <v>0</v>
          </cell>
          <cell r="H1832">
            <v>0</v>
          </cell>
        </row>
        <row r="1833">
          <cell r="A1833">
            <v>30103</v>
          </cell>
          <cell r="B1833" t="str">
            <v>Moyen</v>
          </cell>
          <cell r="D1833" t="str">
            <v>*</v>
          </cell>
          <cell r="F1833">
            <v>1</v>
          </cell>
          <cell r="G1833">
            <v>0</v>
          </cell>
          <cell r="H1833">
            <v>0</v>
          </cell>
        </row>
        <row r="1834">
          <cell r="A1834">
            <v>30115</v>
          </cell>
          <cell r="B1834" t="str">
            <v>Moyen</v>
          </cell>
          <cell r="D1834" t="str">
            <v>*</v>
          </cell>
          <cell r="F1834">
            <v>1</v>
          </cell>
          <cell r="G1834">
            <v>0</v>
          </cell>
          <cell r="H1834">
            <v>208594</v>
          </cell>
        </row>
        <row r="1835">
          <cell r="A1835">
            <v>30116</v>
          </cell>
          <cell r="B1835" t="str">
            <v>Moyen</v>
          </cell>
          <cell r="D1835" t="str">
            <v>*</v>
          </cell>
          <cell r="F1835">
            <v>1</v>
          </cell>
          <cell r="G1835">
            <v>0</v>
          </cell>
          <cell r="H1835">
            <v>374382.16291380598</v>
          </cell>
        </row>
        <row r="1836">
          <cell r="A1836">
            <v>30117</v>
          </cell>
          <cell r="B1836" t="str">
            <v>Moyen</v>
          </cell>
          <cell r="D1836" t="str">
            <v>*</v>
          </cell>
          <cell r="F1836">
            <v>1</v>
          </cell>
          <cell r="G1836">
            <v>0</v>
          </cell>
          <cell r="H1836">
            <v>0</v>
          </cell>
        </row>
        <row r="1837">
          <cell r="A1837">
            <v>30118</v>
          </cell>
          <cell r="B1837" t="str">
            <v>Moyen</v>
          </cell>
          <cell r="D1837" t="str">
            <v>*</v>
          </cell>
          <cell r="F1837">
            <v>1</v>
          </cell>
          <cell r="G1837">
            <v>0</v>
          </cell>
          <cell r="H1837">
            <v>369457.94</v>
          </cell>
        </row>
        <row r="1838">
          <cell r="A1838">
            <v>30119</v>
          </cell>
          <cell r="B1838" t="str">
            <v>Moyen</v>
          </cell>
          <cell r="D1838" t="str">
            <v>*</v>
          </cell>
          <cell r="F1838">
            <v>1</v>
          </cell>
          <cell r="G1838">
            <v>0</v>
          </cell>
          <cell r="H1838">
            <v>0</v>
          </cell>
        </row>
        <row r="1839">
          <cell r="A1839">
            <v>30120</v>
          </cell>
          <cell r="B1839" t="str">
            <v>Moyen</v>
          </cell>
          <cell r="D1839" t="str">
            <v>*</v>
          </cell>
          <cell r="F1839">
            <v>1</v>
          </cell>
          <cell r="G1839">
            <v>0</v>
          </cell>
          <cell r="H1839">
            <v>0</v>
          </cell>
        </row>
        <row r="1840">
          <cell r="A1840">
            <v>30121</v>
          </cell>
          <cell r="B1840" t="str">
            <v>Moyen</v>
          </cell>
          <cell r="D1840" t="str">
            <v>*</v>
          </cell>
          <cell r="F1840">
            <v>1</v>
          </cell>
          <cell r="G1840">
            <v>0</v>
          </cell>
          <cell r="H1840">
            <v>0</v>
          </cell>
        </row>
        <row r="1841">
          <cell r="A1841">
            <v>30122</v>
          </cell>
          <cell r="B1841" t="str">
            <v>Moyen</v>
          </cell>
          <cell r="D1841" t="str">
            <v>*</v>
          </cell>
          <cell r="F1841">
            <v>1</v>
          </cell>
          <cell r="G1841">
            <v>0</v>
          </cell>
          <cell r="H1841">
            <v>0</v>
          </cell>
        </row>
        <row r="1842">
          <cell r="A1842">
            <v>30123</v>
          </cell>
          <cell r="B1842" t="str">
            <v>Moyen</v>
          </cell>
          <cell r="D1842" t="str">
            <v>*</v>
          </cell>
          <cell r="F1842">
            <v>1</v>
          </cell>
          <cell r="G1842">
            <v>0</v>
          </cell>
          <cell r="H1842">
            <v>0</v>
          </cell>
        </row>
        <row r="1843">
          <cell r="A1843">
            <v>30124</v>
          </cell>
          <cell r="B1843" t="str">
            <v>Moyen</v>
          </cell>
          <cell r="D1843" t="str">
            <v>*</v>
          </cell>
          <cell r="F1843">
            <v>1</v>
          </cell>
          <cell r="G1843">
            <v>0</v>
          </cell>
          <cell r="H1843">
            <v>0</v>
          </cell>
        </row>
        <row r="1844">
          <cell r="A1844">
            <v>30125</v>
          </cell>
          <cell r="B1844" t="str">
            <v>Moyen</v>
          </cell>
          <cell r="D1844" t="str">
            <v>*</v>
          </cell>
          <cell r="F1844">
            <v>1</v>
          </cell>
          <cell r="G1844">
            <v>0</v>
          </cell>
          <cell r="H1844">
            <v>0</v>
          </cell>
        </row>
        <row r="1845">
          <cell r="A1845">
            <v>30126</v>
          </cell>
          <cell r="B1845" t="str">
            <v>Moyen</v>
          </cell>
          <cell r="D1845" t="str">
            <v>*</v>
          </cell>
          <cell r="F1845">
            <v>1</v>
          </cell>
          <cell r="G1845">
            <v>0</v>
          </cell>
          <cell r="H1845">
            <v>0</v>
          </cell>
        </row>
        <row r="1846">
          <cell r="A1846">
            <v>30127</v>
          </cell>
          <cell r="B1846" t="str">
            <v>Moyen</v>
          </cell>
          <cell r="D1846" t="str">
            <v>*</v>
          </cell>
          <cell r="F1846">
            <v>1</v>
          </cell>
          <cell r="G1846">
            <v>0</v>
          </cell>
          <cell r="H1846">
            <v>0</v>
          </cell>
        </row>
        <row r="1847">
          <cell r="A1847">
            <v>30128</v>
          </cell>
          <cell r="B1847" t="str">
            <v>Moyen</v>
          </cell>
          <cell r="D1847" t="str">
            <v>*</v>
          </cell>
          <cell r="F1847">
            <v>1</v>
          </cell>
          <cell r="G1847">
            <v>0</v>
          </cell>
          <cell r="H1847">
            <v>0</v>
          </cell>
        </row>
        <row r="1848">
          <cell r="A1848">
            <v>30129</v>
          </cell>
          <cell r="B1848" t="str">
            <v>Moyen</v>
          </cell>
          <cell r="D1848" t="str">
            <v>*</v>
          </cell>
          <cell r="F1848">
            <v>1</v>
          </cell>
          <cell r="G1848">
            <v>0</v>
          </cell>
          <cell r="H1848">
            <v>0</v>
          </cell>
        </row>
        <row r="1849">
          <cell r="A1849">
            <v>30130</v>
          </cell>
          <cell r="B1849" t="str">
            <v>Moyen</v>
          </cell>
          <cell r="D1849" t="str">
            <v>*</v>
          </cell>
          <cell r="F1849">
            <v>1</v>
          </cell>
          <cell r="G1849">
            <v>0</v>
          </cell>
          <cell r="H1849">
            <v>0</v>
          </cell>
        </row>
        <row r="1850">
          <cell r="A1850">
            <v>30131</v>
          </cell>
          <cell r="B1850" t="str">
            <v>Moyen</v>
          </cell>
          <cell r="D1850" t="str">
            <v>*</v>
          </cell>
          <cell r="F1850">
            <v>1</v>
          </cell>
          <cell r="G1850">
            <v>0</v>
          </cell>
          <cell r="H1850">
            <v>0</v>
          </cell>
        </row>
        <row r="1851">
          <cell r="A1851">
            <v>30132</v>
          </cell>
          <cell r="B1851" t="str">
            <v>Moyen</v>
          </cell>
          <cell r="D1851" t="str">
            <v>*</v>
          </cell>
          <cell r="F1851">
            <v>1</v>
          </cell>
          <cell r="G1851">
            <v>0</v>
          </cell>
          <cell r="H1851">
            <v>0</v>
          </cell>
        </row>
        <row r="1852">
          <cell r="A1852">
            <v>30133</v>
          </cell>
          <cell r="B1852" t="str">
            <v>Moyen</v>
          </cell>
          <cell r="D1852" t="str">
            <v>*</v>
          </cell>
          <cell r="F1852">
            <v>1</v>
          </cell>
          <cell r="G1852">
            <v>0</v>
          </cell>
          <cell r="H1852">
            <v>0</v>
          </cell>
        </row>
        <row r="1853">
          <cell r="A1853">
            <v>30134</v>
          </cell>
          <cell r="B1853" t="str">
            <v>Moyen</v>
          </cell>
          <cell r="D1853" t="str">
            <v>*</v>
          </cell>
          <cell r="F1853">
            <v>1</v>
          </cell>
          <cell r="G1853">
            <v>0</v>
          </cell>
          <cell r="H1853">
            <v>0</v>
          </cell>
        </row>
        <row r="1854">
          <cell r="A1854">
            <v>30135</v>
          </cell>
          <cell r="B1854" t="str">
            <v>Moyen</v>
          </cell>
          <cell r="D1854" t="str">
            <v>*</v>
          </cell>
          <cell r="F1854">
            <v>1</v>
          </cell>
          <cell r="G1854">
            <v>0</v>
          </cell>
          <cell r="H1854">
            <v>0</v>
          </cell>
        </row>
        <row r="1855">
          <cell r="A1855">
            <v>30136</v>
          </cell>
          <cell r="B1855" t="str">
            <v>Moyen</v>
          </cell>
          <cell r="D1855" t="str">
            <v>*</v>
          </cell>
          <cell r="F1855">
            <v>1</v>
          </cell>
          <cell r="G1855">
            <v>0</v>
          </cell>
          <cell r="H1855">
            <v>0</v>
          </cell>
        </row>
        <row r="1856">
          <cell r="A1856">
            <v>30137</v>
          </cell>
          <cell r="B1856" t="str">
            <v>Moyen</v>
          </cell>
          <cell r="D1856" t="str">
            <v>*</v>
          </cell>
          <cell r="F1856">
            <v>1</v>
          </cell>
          <cell r="G1856">
            <v>0</v>
          </cell>
          <cell r="H1856">
            <v>0</v>
          </cell>
        </row>
        <row r="1857">
          <cell r="A1857">
            <v>30138</v>
          </cell>
          <cell r="B1857" t="str">
            <v>Moyen</v>
          </cell>
          <cell r="D1857" t="str">
            <v>*</v>
          </cell>
          <cell r="F1857">
            <v>1</v>
          </cell>
          <cell r="G1857">
            <v>0</v>
          </cell>
          <cell r="H1857">
            <v>0</v>
          </cell>
        </row>
        <row r="1858">
          <cell r="A1858">
            <v>30139</v>
          </cell>
          <cell r="B1858" t="str">
            <v>Moyen</v>
          </cell>
          <cell r="D1858" t="str">
            <v>*</v>
          </cell>
          <cell r="F1858">
            <v>1</v>
          </cell>
          <cell r="G1858">
            <v>0</v>
          </cell>
          <cell r="H1858">
            <v>0</v>
          </cell>
        </row>
        <row r="1859">
          <cell r="A1859">
            <v>30140</v>
          </cell>
          <cell r="B1859" t="str">
            <v>Moyen</v>
          </cell>
          <cell r="D1859" t="str">
            <v>*</v>
          </cell>
          <cell r="F1859">
            <v>1</v>
          </cell>
          <cell r="G1859">
            <v>0</v>
          </cell>
          <cell r="H1859">
            <v>0</v>
          </cell>
        </row>
        <row r="1860">
          <cell r="A1860">
            <v>30141</v>
          </cell>
          <cell r="B1860" t="str">
            <v>Moyen</v>
          </cell>
          <cell r="D1860" t="str">
            <v>*</v>
          </cell>
          <cell r="F1860">
            <v>1</v>
          </cell>
          <cell r="G1860">
            <v>0</v>
          </cell>
          <cell r="H1860">
            <v>0</v>
          </cell>
        </row>
        <row r="1861">
          <cell r="A1861">
            <v>30142</v>
          </cell>
          <cell r="B1861" t="str">
            <v>Moyen</v>
          </cell>
          <cell r="D1861" t="str">
            <v>*</v>
          </cell>
          <cell r="F1861">
            <v>1</v>
          </cell>
          <cell r="G1861">
            <v>0</v>
          </cell>
          <cell r="H1861">
            <v>0</v>
          </cell>
        </row>
        <row r="1862">
          <cell r="A1862">
            <v>30143</v>
          </cell>
          <cell r="B1862" t="str">
            <v>Moyen</v>
          </cell>
          <cell r="D1862" t="str">
            <v>*</v>
          </cell>
          <cell r="F1862">
            <v>1</v>
          </cell>
          <cell r="G1862">
            <v>0</v>
          </cell>
          <cell r="H1862">
            <v>0</v>
          </cell>
        </row>
        <row r="1863">
          <cell r="A1863">
            <v>30144</v>
          </cell>
          <cell r="B1863" t="str">
            <v>Moyen</v>
          </cell>
          <cell r="D1863" t="str">
            <v>*</v>
          </cell>
          <cell r="F1863">
            <v>1</v>
          </cell>
          <cell r="G1863">
            <v>0</v>
          </cell>
          <cell r="H1863">
            <v>0</v>
          </cell>
        </row>
        <row r="1864">
          <cell r="A1864">
            <v>30145</v>
          </cell>
          <cell r="B1864" t="str">
            <v>Moyen</v>
          </cell>
          <cell r="D1864" t="str">
            <v>*</v>
          </cell>
          <cell r="F1864">
            <v>1</v>
          </cell>
          <cell r="G1864">
            <v>0</v>
          </cell>
          <cell r="H1864">
            <v>0</v>
          </cell>
        </row>
        <row r="1865">
          <cell r="A1865">
            <v>30146</v>
          </cell>
          <cell r="B1865" t="str">
            <v>Moyen</v>
          </cell>
          <cell r="D1865" t="str">
            <v>*</v>
          </cell>
          <cell r="F1865">
            <v>1</v>
          </cell>
          <cell r="G1865">
            <v>0</v>
          </cell>
          <cell r="H1865">
            <v>0</v>
          </cell>
        </row>
        <row r="1866">
          <cell r="A1866">
            <v>30147</v>
          </cell>
          <cell r="B1866" t="str">
            <v>Moyen</v>
          </cell>
          <cell r="D1866" t="str">
            <v>*</v>
          </cell>
          <cell r="F1866">
            <v>1</v>
          </cell>
          <cell r="G1866">
            <v>0</v>
          </cell>
          <cell r="H1866">
            <v>0</v>
          </cell>
        </row>
        <row r="1867">
          <cell r="A1867">
            <v>30148</v>
          </cell>
          <cell r="B1867" t="str">
            <v>Moyen</v>
          </cell>
          <cell r="D1867" t="str">
            <v>*</v>
          </cell>
          <cell r="F1867">
            <v>1</v>
          </cell>
          <cell r="G1867">
            <v>0</v>
          </cell>
          <cell r="H1867">
            <v>0</v>
          </cell>
        </row>
        <row r="1868">
          <cell r="A1868">
            <v>30149</v>
          </cell>
          <cell r="B1868" t="str">
            <v>Moyen</v>
          </cell>
          <cell r="D1868" t="str">
            <v>*</v>
          </cell>
          <cell r="F1868">
            <v>1</v>
          </cell>
          <cell r="G1868">
            <v>0</v>
          </cell>
          <cell r="H1868">
            <v>0</v>
          </cell>
        </row>
        <row r="1869">
          <cell r="A1869">
            <v>30150</v>
          </cell>
          <cell r="B1869" t="str">
            <v>Moyen</v>
          </cell>
          <cell r="D1869" t="str">
            <v>*</v>
          </cell>
          <cell r="F1869">
            <v>1</v>
          </cell>
          <cell r="G1869">
            <v>0</v>
          </cell>
          <cell r="H1869">
            <v>0</v>
          </cell>
        </row>
        <row r="1870">
          <cell r="A1870">
            <v>30151</v>
          </cell>
          <cell r="B1870" t="str">
            <v>Moyen</v>
          </cell>
          <cell r="D1870" t="str">
            <v>*</v>
          </cell>
          <cell r="F1870">
            <v>1</v>
          </cell>
          <cell r="G1870">
            <v>0</v>
          </cell>
          <cell r="H1870">
            <v>0</v>
          </cell>
        </row>
        <row r="1871">
          <cell r="A1871">
            <v>30152</v>
          </cell>
          <cell r="B1871" t="str">
            <v>Moyen</v>
          </cell>
          <cell r="D1871" t="str">
            <v>*</v>
          </cell>
          <cell r="F1871">
            <v>1</v>
          </cell>
          <cell r="G1871">
            <v>0</v>
          </cell>
          <cell r="H1871">
            <v>0</v>
          </cell>
        </row>
        <row r="1872">
          <cell r="A1872">
            <v>30153</v>
          </cell>
          <cell r="B1872" t="str">
            <v>Moyen</v>
          </cell>
          <cell r="D1872" t="str">
            <v>*</v>
          </cell>
          <cell r="F1872">
            <v>1</v>
          </cell>
          <cell r="G1872">
            <v>0</v>
          </cell>
          <cell r="H1872">
            <v>0</v>
          </cell>
        </row>
        <row r="1873">
          <cell r="A1873">
            <v>30154</v>
          </cell>
          <cell r="B1873" t="str">
            <v>Moyen</v>
          </cell>
          <cell r="D1873" t="str">
            <v>*</v>
          </cell>
          <cell r="F1873">
            <v>1</v>
          </cell>
          <cell r="G1873">
            <v>0</v>
          </cell>
          <cell r="H1873">
            <v>0</v>
          </cell>
        </row>
        <row r="1874">
          <cell r="A1874">
            <v>30155</v>
          </cell>
          <cell r="B1874" t="str">
            <v>Moyen</v>
          </cell>
          <cell r="D1874" t="str">
            <v>*</v>
          </cell>
          <cell r="F1874">
            <v>1</v>
          </cell>
          <cell r="G1874">
            <v>0</v>
          </cell>
          <cell r="H1874">
            <v>0</v>
          </cell>
        </row>
        <row r="1875">
          <cell r="A1875">
            <v>30156</v>
          </cell>
          <cell r="B1875" t="str">
            <v>Moyen</v>
          </cell>
          <cell r="D1875" t="str">
            <v>*</v>
          </cell>
          <cell r="F1875">
            <v>1</v>
          </cell>
          <cell r="G1875">
            <v>0</v>
          </cell>
          <cell r="H1875">
            <v>0</v>
          </cell>
        </row>
        <row r="1876">
          <cell r="A1876">
            <v>30157</v>
          </cell>
          <cell r="B1876" t="str">
            <v>Moyen</v>
          </cell>
          <cell r="D1876" t="str">
            <v>*</v>
          </cell>
          <cell r="F1876">
            <v>1</v>
          </cell>
          <cell r="G1876">
            <v>0</v>
          </cell>
          <cell r="H1876">
            <v>0</v>
          </cell>
        </row>
        <row r="1877">
          <cell r="A1877">
            <v>30158</v>
          </cell>
          <cell r="B1877" t="str">
            <v>Moyen</v>
          </cell>
          <cell r="D1877" t="str">
            <v>*</v>
          </cell>
          <cell r="F1877">
            <v>1</v>
          </cell>
          <cell r="G1877">
            <v>0</v>
          </cell>
          <cell r="H1877">
            <v>0</v>
          </cell>
        </row>
        <row r="1878">
          <cell r="A1878">
            <v>30159</v>
          </cell>
          <cell r="B1878" t="str">
            <v>Moyen</v>
          </cell>
          <cell r="D1878" t="str">
            <v>*</v>
          </cell>
          <cell r="F1878">
            <v>1</v>
          </cell>
          <cell r="G1878">
            <v>0</v>
          </cell>
          <cell r="H1878">
            <v>0</v>
          </cell>
        </row>
        <row r="1879">
          <cell r="A1879">
            <v>30160</v>
          </cell>
          <cell r="B1879" t="str">
            <v>Moyen</v>
          </cell>
          <cell r="D1879" t="str">
            <v>*</v>
          </cell>
          <cell r="F1879">
            <v>1</v>
          </cell>
          <cell r="G1879">
            <v>0</v>
          </cell>
          <cell r="H1879">
            <v>0</v>
          </cell>
        </row>
        <row r="1880">
          <cell r="A1880">
            <v>30161</v>
          </cell>
          <cell r="B1880" t="str">
            <v>Moyen</v>
          </cell>
          <cell r="D1880" t="str">
            <v>*</v>
          </cell>
          <cell r="F1880">
            <v>1</v>
          </cell>
          <cell r="G1880">
            <v>0</v>
          </cell>
          <cell r="H1880">
            <v>0</v>
          </cell>
        </row>
        <row r="1881">
          <cell r="A1881">
            <v>30162</v>
          </cell>
          <cell r="B1881" t="str">
            <v>Moyen</v>
          </cell>
          <cell r="D1881" t="str">
            <v>*</v>
          </cell>
          <cell r="F1881">
            <v>1</v>
          </cell>
          <cell r="G1881">
            <v>0</v>
          </cell>
          <cell r="H1881">
            <v>0</v>
          </cell>
        </row>
        <row r="1882">
          <cell r="A1882">
            <v>30163</v>
          </cell>
          <cell r="B1882" t="str">
            <v>Moyen</v>
          </cell>
          <cell r="D1882" t="str">
            <v>*</v>
          </cell>
          <cell r="F1882">
            <v>1</v>
          </cell>
          <cell r="G1882">
            <v>0</v>
          </cell>
          <cell r="H1882">
            <v>0</v>
          </cell>
        </row>
        <row r="1883">
          <cell r="A1883">
            <v>30164</v>
          </cell>
          <cell r="B1883" t="str">
            <v>Moyen</v>
          </cell>
          <cell r="D1883" t="str">
            <v>*</v>
          </cell>
          <cell r="F1883">
            <v>1</v>
          </cell>
          <cell r="G1883">
            <v>0</v>
          </cell>
          <cell r="H1883">
            <v>0</v>
          </cell>
        </row>
        <row r="1884">
          <cell r="A1884">
            <v>30167</v>
          </cell>
          <cell r="B1884" t="str">
            <v>Moyen</v>
          </cell>
          <cell r="D1884" t="str">
            <v>*</v>
          </cell>
          <cell r="F1884">
            <v>1</v>
          </cell>
          <cell r="G1884">
            <v>0</v>
          </cell>
          <cell r="H1884">
            <v>0</v>
          </cell>
        </row>
        <row r="1885">
          <cell r="A1885">
            <v>30168</v>
          </cell>
          <cell r="B1885" t="str">
            <v>Moyen</v>
          </cell>
          <cell r="D1885" t="str">
            <v>*</v>
          </cell>
          <cell r="F1885">
            <v>1</v>
          </cell>
          <cell r="G1885">
            <v>0</v>
          </cell>
          <cell r="H1885">
            <v>0</v>
          </cell>
        </row>
        <row r="1886">
          <cell r="A1886">
            <v>30169</v>
          </cell>
          <cell r="B1886" t="str">
            <v>Moyen</v>
          </cell>
          <cell r="D1886" t="str">
            <v>*</v>
          </cell>
          <cell r="F1886">
            <v>1</v>
          </cell>
          <cell r="G1886">
            <v>0</v>
          </cell>
          <cell r="H1886">
            <v>0</v>
          </cell>
        </row>
        <row r="1887">
          <cell r="A1887">
            <v>30170</v>
          </cell>
          <cell r="B1887" t="str">
            <v>Moyen</v>
          </cell>
          <cell r="D1887" t="str">
            <v>*</v>
          </cell>
          <cell r="F1887">
            <v>1</v>
          </cell>
          <cell r="G1887">
            <v>0</v>
          </cell>
          <cell r="H1887">
            <v>5048.2450719999997</v>
          </cell>
        </row>
        <row r="1888">
          <cell r="A1888">
            <v>30171</v>
          </cell>
          <cell r="B1888" t="str">
            <v>Moyen</v>
          </cell>
          <cell r="D1888" t="str">
            <v>*</v>
          </cell>
          <cell r="F1888">
            <v>1</v>
          </cell>
          <cell r="G1888">
            <v>0</v>
          </cell>
          <cell r="H1888">
            <v>1466.6666666666599</v>
          </cell>
        </row>
        <row r="1889">
          <cell r="A1889">
            <v>30172</v>
          </cell>
          <cell r="B1889" t="str">
            <v>Moyen</v>
          </cell>
          <cell r="D1889" t="str">
            <v>*</v>
          </cell>
          <cell r="F1889">
            <v>1</v>
          </cell>
          <cell r="G1889">
            <v>0</v>
          </cell>
          <cell r="H1889">
            <v>0</v>
          </cell>
        </row>
        <row r="1890">
          <cell r="A1890">
            <v>30173</v>
          </cell>
          <cell r="B1890" t="str">
            <v>Moyen</v>
          </cell>
          <cell r="D1890" t="str">
            <v>*</v>
          </cell>
          <cell r="F1890">
            <v>1</v>
          </cell>
          <cell r="G1890">
            <v>0</v>
          </cell>
          <cell r="H1890">
            <v>0</v>
          </cell>
        </row>
        <row r="1891">
          <cell r="A1891">
            <v>30174</v>
          </cell>
          <cell r="B1891" t="str">
            <v>Moyen</v>
          </cell>
          <cell r="D1891" t="str">
            <v>*</v>
          </cell>
          <cell r="F1891">
            <v>1</v>
          </cell>
          <cell r="G1891">
            <v>0</v>
          </cell>
          <cell r="H1891">
            <v>0</v>
          </cell>
        </row>
        <row r="1892">
          <cell r="A1892">
            <v>30175</v>
          </cell>
          <cell r="B1892" t="str">
            <v>Moyen</v>
          </cell>
          <cell r="D1892" t="str">
            <v>*</v>
          </cell>
          <cell r="F1892">
            <v>1</v>
          </cell>
          <cell r="G1892">
            <v>0</v>
          </cell>
          <cell r="H1892">
            <v>1000</v>
          </cell>
        </row>
        <row r="1893">
          <cell r="A1893">
            <v>30176</v>
          </cell>
          <cell r="B1893" t="str">
            <v>Moyen</v>
          </cell>
          <cell r="D1893" t="str">
            <v>*</v>
          </cell>
          <cell r="F1893">
            <v>1</v>
          </cell>
          <cell r="G1893">
            <v>0</v>
          </cell>
          <cell r="H1893">
            <v>0</v>
          </cell>
        </row>
        <row r="1894">
          <cell r="A1894">
            <v>30177</v>
          </cell>
          <cell r="B1894" t="str">
            <v>Moyen</v>
          </cell>
          <cell r="D1894" t="str">
            <v>*</v>
          </cell>
          <cell r="F1894">
            <v>1</v>
          </cell>
          <cell r="G1894">
            <v>0</v>
          </cell>
          <cell r="H1894">
            <v>70000</v>
          </cell>
        </row>
        <row r="1895">
          <cell r="A1895">
            <v>30178</v>
          </cell>
          <cell r="B1895" t="str">
            <v>Moyen</v>
          </cell>
          <cell r="D1895" t="str">
            <v>*</v>
          </cell>
          <cell r="F1895">
            <v>1</v>
          </cell>
          <cell r="G1895">
            <v>0</v>
          </cell>
          <cell r="H1895">
            <v>65400</v>
          </cell>
        </row>
        <row r="1896">
          <cell r="A1896">
            <v>30179</v>
          </cell>
          <cell r="B1896" t="str">
            <v>Moyen</v>
          </cell>
          <cell r="D1896" t="str">
            <v>*</v>
          </cell>
          <cell r="F1896">
            <v>1</v>
          </cell>
          <cell r="G1896">
            <v>0</v>
          </cell>
          <cell r="H1896">
            <v>0</v>
          </cell>
        </row>
        <row r="1897">
          <cell r="A1897">
            <v>30180</v>
          </cell>
          <cell r="B1897" t="str">
            <v>Moyen</v>
          </cell>
          <cell r="D1897" t="str">
            <v>*</v>
          </cell>
          <cell r="F1897">
            <v>1</v>
          </cell>
          <cell r="G1897">
            <v>0</v>
          </cell>
          <cell r="H1897">
            <v>0</v>
          </cell>
        </row>
        <row r="1898">
          <cell r="A1898">
            <v>30181</v>
          </cell>
          <cell r="B1898" t="str">
            <v>Moyen</v>
          </cell>
          <cell r="D1898" t="str">
            <v>*</v>
          </cell>
          <cell r="F1898">
            <v>1</v>
          </cell>
          <cell r="G1898">
            <v>0</v>
          </cell>
          <cell r="H1898">
            <v>0</v>
          </cell>
        </row>
        <row r="1899">
          <cell r="A1899">
            <v>30182</v>
          </cell>
          <cell r="B1899" t="str">
            <v>Moyen</v>
          </cell>
          <cell r="D1899" t="str">
            <v>*</v>
          </cell>
          <cell r="F1899">
            <v>1</v>
          </cell>
          <cell r="G1899">
            <v>0</v>
          </cell>
          <cell r="H1899">
            <v>0</v>
          </cell>
        </row>
        <row r="1900">
          <cell r="A1900">
            <v>30183</v>
          </cell>
          <cell r="B1900" t="str">
            <v>Moyen</v>
          </cell>
          <cell r="D1900" t="str">
            <v>*</v>
          </cell>
          <cell r="F1900">
            <v>1</v>
          </cell>
          <cell r="G1900">
            <v>0</v>
          </cell>
          <cell r="H1900">
            <v>49000</v>
          </cell>
        </row>
        <row r="1901">
          <cell r="A1901">
            <v>30184</v>
          </cell>
          <cell r="B1901" t="str">
            <v>Moyen</v>
          </cell>
          <cell r="D1901" t="str">
            <v>*</v>
          </cell>
          <cell r="F1901">
            <v>1</v>
          </cell>
          <cell r="G1901">
            <v>0</v>
          </cell>
          <cell r="H1901">
            <v>0</v>
          </cell>
        </row>
        <row r="1902">
          <cell r="A1902">
            <v>30185</v>
          </cell>
          <cell r="B1902" t="str">
            <v>Moyen</v>
          </cell>
          <cell r="D1902" t="str">
            <v>*</v>
          </cell>
          <cell r="F1902">
            <v>1</v>
          </cell>
          <cell r="G1902">
            <v>0</v>
          </cell>
          <cell r="H1902">
            <v>0</v>
          </cell>
        </row>
        <row r="1903">
          <cell r="A1903">
            <v>30186</v>
          </cell>
          <cell r="B1903" t="str">
            <v>Moyen</v>
          </cell>
          <cell r="D1903" t="str">
            <v>*</v>
          </cell>
          <cell r="F1903">
            <v>1</v>
          </cell>
          <cell r="G1903">
            <v>0</v>
          </cell>
          <cell r="H1903">
            <v>2600</v>
          </cell>
        </row>
        <row r="1904">
          <cell r="A1904">
            <v>30187</v>
          </cell>
          <cell r="B1904" t="str">
            <v>Moyen</v>
          </cell>
          <cell r="D1904" t="str">
            <v>*</v>
          </cell>
          <cell r="F1904">
            <v>1</v>
          </cell>
          <cell r="G1904">
            <v>0</v>
          </cell>
          <cell r="H1904">
            <v>16500</v>
          </cell>
        </row>
        <row r="1905">
          <cell r="A1905">
            <v>30188</v>
          </cell>
          <cell r="B1905" t="str">
            <v>Moyen</v>
          </cell>
          <cell r="D1905" t="str">
            <v>*</v>
          </cell>
          <cell r="F1905">
            <v>1</v>
          </cell>
          <cell r="G1905">
            <v>0</v>
          </cell>
          <cell r="H1905">
            <v>0</v>
          </cell>
        </row>
        <row r="1906">
          <cell r="A1906">
            <v>30189</v>
          </cell>
          <cell r="B1906" t="str">
            <v>Moyen</v>
          </cell>
          <cell r="D1906" t="str">
            <v>*</v>
          </cell>
          <cell r="F1906">
            <v>1</v>
          </cell>
          <cell r="G1906">
            <v>0</v>
          </cell>
          <cell r="H1906">
            <v>190332</v>
          </cell>
        </row>
        <row r="1907">
          <cell r="A1907">
            <v>30190</v>
          </cell>
          <cell r="B1907" t="str">
            <v>Moyen</v>
          </cell>
          <cell r="D1907" t="str">
            <v>*</v>
          </cell>
          <cell r="F1907">
            <v>1</v>
          </cell>
          <cell r="G1907">
            <v>0</v>
          </cell>
          <cell r="H1907">
            <v>23142</v>
          </cell>
        </row>
        <row r="1908">
          <cell r="A1908">
            <v>30191</v>
          </cell>
          <cell r="B1908" t="str">
            <v>Moyen</v>
          </cell>
          <cell r="D1908" t="str">
            <v>*</v>
          </cell>
          <cell r="F1908">
            <v>1</v>
          </cell>
          <cell r="G1908">
            <v>0</v>
          </cell>
          <cell r="H1908">
            <v>0</v>
          </cell>
        </row>
        <row r="1909">
          <cell r="A1909">
            <v>30193</v>
          </cell>
          <cell r="B1909" t="str">
            <v>Moyen</v>
          </cell>
          <cell r="D1909" t="str">
            <v>*</v>
          </cell>
          <cell r="F1909">
            <v>1</v>
          </cell>
          <cell r="G1909">
            <v>0</v>
          </cell>
          <cell r="H1909">
            <v>0</v>
          </cell>
        </row>
        <row r="1910">
          <cell r="A1910">
            <v>30194</v>
          </cell>
          <cell r="B1910" t="str">
            <v>Moyen</v>
          </cell>
          <cell r="D1910" t="str">
            <v>*</v>
          </cell>
          <cell r="F1910">
            <v>1</v>
          </cell>
          <cell r="G1910">
            <v>0</v>
          </cell>
          <cell r="H1910">
            <v>0</v>
          </cell>
        </row>
        <row r="1911">
          <cell r="A1911">
            <v>30195</v>
          </cell>
          <cell r="B1911" t="str">
            <v>Moyen</v>
          </cell>
          <cell r="D1911" t="str">
            <v>*</v>
          </cell>
          <cell r="F1911">
            <v>1</v>
          </cell>
          <cell r="G1911">
            <v>0</v>
          </cell>
          <cell r="H1911">
            <v>0</v>
          </cell>
        </row>
        <row r="1912">
          <cell r="A1912">
            <v>30196</v>
          </cell>
          <cell r="B1912" t="str">
            <v>Moyen</v>
          </cell>
          <cell r="D1912" t="str">
            <v>*</v>
          </cell>
          <cell r="F1912">
            <v>1</v>
          </cell>
          <cell r="G1912">
            <v>0</v>
          </cell>
          <cell r="H1912">
            <v>0</v>
          </cell>
        </row>
        <row r="1913">
          <cell r="A1913">
            <v>30197</v>
          </cell>
          <cell r="B1913" t="str">
            <v>Moyen</v>
          </cell>
          <cell r="D1913" t="str">
            <v>*</v>
          </cell>
          <cell r="F1913">
            <v>1</v>
          </cell>
          <cell r="G1913">
            <v>0</v>
          </cell>
          <cell r="H1913">
            <v>0</v>
          </cell>
        </row>
        <row r="1914">
          <cell r="A1914">
            <v>30198</v>
          </cell>
          <cell r="B1914" t="str">
            <v>Moyen</v>
          </cell>
          <cell r="D1914" t="str">
            <v>*</v>
          </cell>
          <cell r="F1914">
            <v>1</v>
          </cell>
          <cell r="G1914">
            <v>0</v>
          </cell>
          <cell r="H1914">
            <v>45646.890058823497</v>
          </cell>
        </row>
        <row r="1915">
          <cell r="A1915">
            <v>30199</v>
          </cell>
          <cell r="B1915" t="str">
            <v>Moyen</v>
          </cell>
          <cell r="D1915" t="str">
            <v>*</v>
          </cell>
          <cell r="F1915">
            <v>1</v>
          </cell>
          <cell r="G1915">
            <v>0</v>
          </cell>
          <cell r="H1915">
            <v>91708.540006190204</v>
          </cell>
        </row>
        <row r="1916">
          <cell r="A1916">
            <v>30236</v>
          </cell>
          <cell r="B1916" t="str">
            <v>Moyen</v>
          </cell>
          <cell r="D1916" t="str">
            <v>*</v>
          </cell>
          <cell r="F1916">
            <v>1</v>
          </cell>
          <cell r="G1916">
            <v>0</v>
          </cell>
          <cell r="H1916">
            <v>0</v>
          </cell>
        </row>
        <row r="1917">
          <cell r="A1917">
            <v>30237</v>
          </cell>
          <cell r="B1917" t="str">
            <v>Moyen</v>
          </cell>
          <cell r="D1917" t="str">
            <v>*</v>
          </cell>
          <cell r="F1917">
            <v>1</v>
          </cell>
          <cell r="G1917">
            <v>0</v>
          </cell>
          <cell r="H1917">
            <v>0</v>
          </cell>
        </row>
        <row r="1918">
          <cell r="A1918">
            <v>30238</v>
          </cell>
          <cell r="B1918" t="str">
            <v>Moyen</v>
          </cell>
          <cell r="D1918" t="str">
            <v>*</v>
          </cell>
          <cell r="F1918">
            <v>1</v>
          </cell>
          <cell r="G1918">
            <v>0</v>
          </cell>
          <cell r="H1918">
            <v>0</v>
          </cell>
        </row>
        <row r="1919">
          <cell r="A1919">
            <v>30239</v>
          </cell>
          <cell r="B1919" t="str">
            <v>Moyen</v>
          </cell>
          <cell r="D1919" t="str">
            <v>*</v>
          </cell>
          <cell r="F1919">
            <v>1</v>
          </cell>
          <cell r="G1919">
            <v>0</v>
          </cell>
          <cell r="H1919">
            <v>0</v>
          </cell>
        </row>
        <row r="1920">
          <cell r="A1920">
            <v>30240</v>
          </cell>
          <cell r="B1920" t="str">
            <v>Moyen</v>
          </cell>
          <cell r="D1920" t="str">
            <v>*</v>
          </cell>
          <cell r="F1920">
            <v>1</v>
          </cell>
          <cell r="G1920">
            <v>0</v>
          </cell>
          <cell r="H1920">
            <v>0</v>
          </cell>
        </row>
        <row r="1921">
          <cell r="A1921">
            <v>30241</v>
          </cell>
          <cell r="B1921" t="str">
            <v>Moyen</v>
          </cell>
          <cell r="D1921" t="str">
            <v>*</v>
          </cell>
          <cell r="F1921">
            <v>1</v>
          </cell>
          <cell r="G1921">
            <v>0</v>
          </cell>
          <cell r="H1921">
            <v>0</v>
          </cell>
        </row>
        <row r="1922">
          <cell r="A1922">
            <v>30242</v>
          </cell>
          <cell r="B1922" t="str">
            <v>Moyen</v>
          </cell>
          <cell r="D1922" t="str">
            <v>*</v>
          </cell>
          <cell r="F1922">
            <v>1</v>
          </cell>
          <cell r="G1922">
            <v>0</v>
          </cell>
          <cell r="H1922">
            <v>963150.82728108298</v>
          </cell>
        </row>
        <row r="1923">
          <cell r="A1923">
            <v>30243</v>
          </cell>
          <cell r="B1923" t="str">
            <v>Moyen</v>
          </cell>
          <cell r="D1923" t="str">
            <v>*</v>
          </cell>
          <cell r="F1923">
            <v>1</v>
          </cell>
          <cell r="G1923">
            <v>0</v>
          </cell>
          <cell r="H1923">
            <v>137751</v>
          </cell>
        </row>
        <row r="1924">
          <cell r="A1924">
            <v>30244</v>
          </cell>
          <cell r="B1924" t="str">
            <v>Moyen</v>
          </cell>
          <cell r="D1924" t="str">
            <v>*</v>
          </cell>
          <cell r="F1924">
            <v>1</v>
          </cell>
          <cell r="G1924">
            <v>0</v>
          </cell>
          <cell r="H1924">
            <v>179076.261</v>
          </cell>
        </row>
        <row r="1925">
          <cell r="A1925">
            <v>30245</v>
          </cell>
          <cell r="B1925" t="str">
            <v>Moyen</v>
          </cell>
          <cell r="D1925" t="str">
            <v>*</v>
          </cell>
          <cell r="F1925">
            <v>1</v>
          </cell>
          <cell r="G1925">
            <v>0</v>
          </cell>
          <cell r="H1925">
            <v>514761.150819576</v>
          </cell>
        </row>
        <row r="1926">
          <cell r="A1926">
            <v>30246</v>
          </cell>
          <cell r="B1926" t="str">
            <v>Moyen</v>
          </cell>
          <cell r="D1926" t="str">
            <v>*</v>
          </cell>
          <cell r="F1926">
            <v>1</v>
          </cell>
          <cell r="G1926">
            <v>0</v>
          </cell>
          <cell r="H1926">
            <v>0</v>
          </cell>
        </row>
        <row r="1927">
          <cell r="A1927">
            <v>30247</v>
          </cell>
          <cell r="B1927" t="str">
            <v>Moyen</v>
          </cell>
          <cell r="D1927" t="str">
            <v>*</v>
          </cell>
          <cell r="F1927">
            <v>1</v>
          </cell>
          <cell r="G1927">
            <v>0</v>
          </cell>
          <cell r="H1927">
            <v>334.97415021359899</v>
          </cell>
        </row>
        <row r="1928">
          <cell r="A1928">
            <v>30248</v>
          </cell>
          <cell r="B1928" t="str">
            <v>Moyen</v>
          </cell>
          <cell r="D1928" t="str">
            <v>*</v>
          </cell>
          <cell r="F1928">
            <v>1</v>
          </cell>
          <cell r="G1928">
            <v>0</v>
          </cell>
          <cell r="H1928">
            <v>7058.7276036831299</v>
          </cell>
        </row>
        <row r="1929">
          <cell r="A1929">
            <v>30249</v>
          </cell>
          <cell r="B1929" t="str">
            <v>Moyen</v>
          </cell>
          <cell r="D1929" t="str">
            <v>*</v>
          </cell>
          <cell r="F1929">
            <v>1</v>
          </cell>
          <cell r="G1929">
            <v>0</v>
          </cell>
          <cell r="H1929">
            <v>0</v>
          </cell>
        </row>
        <row r="1930">
          <cell r="A1930">
            <v>30250</v>
          </cell>
          <cell r="B1930" t="str">
            <v>Moyen</v>
          </cell>
          <cell r="D1930" t="str">
            <v>*</v>
          </cell>
          <cell r="F1930">
            <v>1</v>
          </cell>
          <cell r="G1930">
            <v>0</v>
          </cell>
          <cell r="H1930">
            <v>19000</v>
          </cell>
        </row>
        <row r="1931">
          <cell r="A1931">
            <v>30252</v>
          </cell>
          <cell r="B1931" t="str">
            <v>Moyen</v>
          </cell>
          <cell r="D1931" t="str">
            <v>*</v>
          </cell>
          <cell r="F1931">
            <v>1</v>
          </cell>
          <cell r="G1931">
            <v>0</v>
          </cell>
          <cell r="H1931">
            <v>91178.023000000001</v>
          </cell>
        </row>
        <row r="1932">
          <cell r="A1932">
            <v>30253</v>
          </cell>
          <cell r="B1932" t="str">
            <v>Moyen</v>
          </cell>
          <cell r="D1932" t="str">
            <v>*</v>
          </cell>
          <cell r="F1932">
            <v>1</v>
          </cell>
          <cell r="G1932">
            <v>0</v>
          </cell>
          <cell r="H1932">
            <v>0</v>
          </cell>
        </row>
        <row r="1933">
          <cell r="A1933">
            <v>30254</v>
          </cell>
          <cell r="B1933" t="str">
            <v>Moyen</v>
          </cell>
          <cell r="D1933" t="str">
            <v>*</v>
          </cell>
          <cell r="F1933">
            <v>1</v>
          </cell>
          <cell r="G1933">
            <v>0</v>
          </cell>
          <cell r="H1933">
            <v>587360</v>
          </cell>
        </row>
        <row r="1934">
          <cell r="A1934">
            <v>30255</v>
          </cell>
          <cell r="B1934" t="str">
            <v>Moyen</v>
          </cell>
          <cell r="D1934" t="str">
            <v>*</v>
          </cell>
          <cell r="F1934">
            <v>1</v>
          </cell>
          <cell r="G1934">
            <v>0</v>
          </cell>
          <cell r="H1934">
            <v>153437</v>
          </cell>
        </row>
        <row r="1935">
          <cell r="A1935">
            <v>30259</v>
          </cell>
          <cell r="B1935" t="str">
            <v>Moyen</v>
          </cell>
          <cell r="D1935" t="str">
            <v>*</v>
          </cell>
          <cell r="F1935">
            <v>1</v>
          </cell>
          <cell r="G1935">
            <v>0</v>
          </cell>
          <cell r="H1935">
            <v>25840</v>
          </cell>
        </row>
        <row r="1936">
          <cell r="A1936">
            <v>30260</v>
          </cell>
          <cell r="B1936" t="str">
            <v>Moyen</v>
          </cell>
          <cell r="D1936" t="str">
            <v>*</v>
          </cell>
          <cell r="F1936">
            <v>1</v>
          </cell>
          <cell r="G1936">
            <v>0</v>
          </cell>
          <cell r="H1936">
            <v>0</v>
          </cell>
        </row>
        <row r="1937">
          <cell r="A1937">
            <v>30261</v>
          </cell>
          <cell r="B1937" t="str">
            <v>Moyen</v>
          </cell>
          <cell r="D1937" t="str">
            <v>*</v>
          </cell>
          <cell r="F1937">
            <v>1</v>
          </cell>
          <cell r="G1937">
            <v>0</v>
          </cell>
          <cell r="H1937">
            <v>0</v>
          </cell>
        </row>
        <row r="1938">
          <cell r="A1938">
            <v>30262</v>
          </cell>
          <cell r="B1938" t="str">
            <v>Moyen</v>
          </cell>
          <cell r="D1938" t="str">
            <v>*</v>
          </cell>
          <cell r="F1938">
            <v>1</v>
          </cell>
          <cell r="G1938">
            <v>0</v>
          </cell>
          <cell r="H1938">
            <v>0</v>
          </cell>
        </row>
        <row r="1939">
          <cell r="A1939">
            <v>30263</v>
          </cell>
          <cell r="B1939" t="str">
            <v>Moyen</v>
          </cell>
          <cell r="D1939" t="str">
            <v>*</v>
          </cell>
          <cell r="F1939">
            <v>1</v>
          </cell>
          <cell r="G1939">
            <v>0</v>
          </cell>
          <cell r="H1939">
            <v>405747</v>
          </cell>
        </row>
        <row r="1940">
          <cell r="A1940">
            <v>30264</v>
          </cell>
          <cell r="B1940" t="str">
            <v>Moyen</v>
          </cell>
          <cell r="D1940" t="str">
            <v>*</v>
          </cell>
          <cell r="F1940">
            <v>1</v>
          </cell>
          <cell r="G1940">
            <v>0</v>
          </cell>
          <cell r="H1940">
            <v>155011</v>
          </cell>
        </row>
        <row r="1941">
          <cell r="A1941">
            <v>30265</v>
          </cell>
          <cell r="B1941" t="str">
            <v>Moyen</v>
          </cell>
          <cell r="D1941" t="str">
            <v>*</v>
          </cell>
          <cell r="F1941">
            <v>1</v>
          </cell>
          <cell r="G1941">
            <v>0</v>
          </cell>
          <cell r="H1941">
            <v>0</v>
          </cell>
        </row>
        <row r="1942">
          <cell r="A1942">
            <v>30266</v>
          </cell>
          <cell r="B1942" t="str">
            <v>Moyen</v>
          </cell>
          <cell r="D1942" t="str">
            <v>*</v>
          </cell>
          <cell r="F1942">
            <v>1</v>
          </cell>
          <cell r="G1942">
            <v>0</v>
          </cell>
          <cell r="H1942">
            <v>0</v>
          </cell>
        </row>
        <row r="1943">
          <cell r="A1943">
            <v>30267</v>
          </cell>
          <cell r="B1943" t="str">
            <v>Moyen</v>
          </cell>
          <cell r="D1943" t="str">
            <v>*</v>
          </cell>
          <cell r="F1943">
            <v>1</v>
          </cell>
          <cell r="G1943">
            <v>0</v>
          </cell>
          <cell r="H1943">
            <v>0</v>
          </cell>
        </row>
        <row r="1944">
          <cell r="A1944">
            <v>30268</v>
          </cell>
          <cell r="B1944" t="str">
            <v>Moyen</v>
          </cell>
          <cell r="D1944" t="str">
            <v>*</v>
          </cell>
          <cell r="F1944">
            <v>1</v>
          </cell>
          <cell r="G1944">
            <v>0</v>
          </cell>
          <cell r="H1944">
            <v>0</v>
          </cell>
        </row>
        <row r="1945">
          <cell r="A1945">
            <v>30269</v>
          </cell>
          <cell r="B1945" t="str">
            <v>Moyen</v>
          </cell>
          <cell r="D1945" t="str">
            <v>*</v>
          </cell>
          <cell r="F1945">
            <v>1</v>
          </cell>
          <cell r="G1945">
            <v>0</v>
          </cell>
          <cell r="H1945">
            <v>1915</v>
          </cell>
        </row>
        <row r="1946">
          <cell r="A1946">
            <v>30271</v>
          </cell>
          <cell r="B1946" t="str">
            <v>Moyen</v>
          </cell>
          <cell r="D1946" t="str">
            <v>*</v>
          </cell>
          <cell r="F1946">
            <v>1</v>
          </cell>
          <cell r="G1946">
            <v>0</v>
          </cell>
          <cell r="H1946">
            <v>0</v>
          </cell>
        </row>
        <row r="1947">
          <cell r="A1947">
            <v>30272</v>
          </cell>
          <cell r="B1947" t="str">
            <v>Moyen</v>
          </cell>
          <cell r="D1947" t="str">
            <v>*</v>
          </cell>
          <cell r="F1947">
            <v>1</v>
          </cell>
          <cell r="G1947">
            <v>0</v>
          </cell>
          <cell r="H1947">
            <v>0</v>
          </cell>
        </row>
        <row r="1948">
          <cell r="A1948">
            <v>30273</v>
          </cell>
          <cell r="B1948" t="str">
            <v>Moyen</v>
          </cell>
          <cell r="D1948" t="str">
            <v>*</v>
          </cell>
          <cell r="F1948">
            <v>1</v>
          </cell>
          <cell r="G1948">
            <v>0</v>
          </cell>
          <cell r="H1948">
            <v>0</v>
          </cell>
        </row>
        <row r="1949">
          <cell r="A1949">
            <v>30274</v>
          </cell>
          <cell r="B1949" t="str">
            <v>Moyen</v>
          </cell>
          <cell r="D1949" t="str">
            <v>*</v>
          </cell>
          <cell r="F1949">
            <v>1</v>
          </cell>
          <cell r="G1949">
            <v>0</v>
          </cell>
          <cell r="H1949">
            <v>0</v>
          </cell>
        </row>
        <row r="1950">
          <cell r="A1950">
            <v>30276</v>
          </cell>
          <cell r="B1950" t="str">
            <v>Moyen</v>
          </cell>
          <cell r="D1950" t="str">
            <v>*</v>
          </cell>
          <cell r="F1950">
            <v>1</v>
          </cell>
          <cell r="G1950">
            <v>0</v>
          </cell>
          <cell r="H1950">
            <v>0</v>
          </cell>
        </row>
        <row r="1951">
          <cell r="A1951">
            <v>30277</v>
          </cell>
          <cell r="B1951" t="str">
            <v>Moyen</v>
          </cell>
          <cell r="D1951" t="str">
            <v>*</v>
          </cell>
          <cell r="F1951">
            <v>1</v>
          </cell>
          <cell r="G1951">
            <v>0</v>
          </cell>
          <cell r="H1951">
            <v>36667.996299999999</v>
          </cell>
        </row>
        <row r="1952">
          <cell r="A1952">
            <v>30278</v>
          </cell>
          <cell r="B1952" t="str">
            <v>Moyen</v>
          </cell>
          <cell r="D1952" t="str">
            <v>*</v>
          </cell>
          <cell r="F1952">
            <v>1</v>
          </cell>
          <cell r="G1952">
            <v>0</v>
          </cell>
          <cell r="H1952">
            <v>0</v>
          </cell>
        </row>
        <row r="1953">
          <cell r="A1953">
            <v>30279</v>
          </cell>
          <cell r="B1953" t="str">
            <v>Moyen</v>
          </cell>
          <cell r="D1953" t="str">
            <v>*</v>
          </cell>
          <cell r="F1953">
            <v>1</v>
          </cell>
          <cell r="G1953">
            <v>0</v>
          </cell>
          <cell r="H1953">
            <v>0</v>
          </cell>
        </row>
        <row r="1954">
          <cell r="A1954">
            <v>30280</v>
          </cell>
          <cell r="B1954" t="str">
            <v>Moyen</v>
          </cell>
          <cell r="D1954" t="str">
            <v>*</v>
          </cell>
          <cell r="F1954">
            <v>1</v>
          </cell>
          <cell r="G1954">
            <v>0</v>
          </cell>
          <cell r="H1954">
            <v>0</v>
          </cell>
        </row>
        <row r="1955">
          <cell r="A1955">
            <v>30281</v>
          </cell>
          <cell r="B1955" t="str">
            <v>Moyen</v>
          </cell>
          <cell r="D1955" t="str">
            <v>*</v>
          </cell>
          <cell r="F1955">
            <v>1</v>
          </cell>
          <cell r="G1955">
            <v>0</v>
          </cell>
          <cell r="H1955">
            <v>0</v>
          </cell>
        </row>
        <row r="1956">
          <cell r="A1956">
            <v>30282</v>
          </cell>
          <cell r="B1956" t="str">
            <v>Moyen</v>
          </cell>
          <cell r="D1956" t="str">
            <v>*</v>
          </cell>
          <cell r="F1956">
            <v>1</v>
          </cell>
          <cell r="G1956">
            <v>0</v>
          </cell>
          <cell r="H1956">
            <v>0</v>
          </cell>
        </row>
        <row r="1957">
          <cell r="A1957">
            <v>30283</v>
          </cell>
          <cell r="B1957" t="str">
            <v>Moyen</v>
          </cell>
          <cell r="D1957" t="str">
            <v>*</v>
          </cell>
          <cell r="F1957">
            <v>1</v>
          </cell>
          <cell r="G1957">
            <v>0</v>
          </cell>
          <cell r="H1957">
            <v>0</v>
          </cell>
        </row>
        <row r="1958">
          <cell r="A1958">
            <v>30284</v>
          </cell>
          <cell r="B1958" t="str">
            <v>Moyen</v>
          </cell>
          <cell r="D1958" t="str">
            <v>*</v>
          </cell>
          <cell r="F1958">
            <v>1</v>
          </cell>
          <cell r="G1958">
            <v>0</v>
          </cell>
          <cell r="H1958">
            <v>0</v>
          </cell>
        </row>
        <row r="1959">
          <cell r="A1959">
            <v>30285</v>
          </cell>
          <cell r="B1959" t="str">
            <v>Moyen</v>
          </cell>
          <cell r="D1959" t="str">
            <v>*</v>
          </cell>
          <cell r="F1959">
            <v>1</v>
          </cell>
          <cell r="G1959">
            <v>0</v>
          </cell>
          <cell r="H1959">
            <v>0</v>
          </cell>
        </row>
        <row r="1960">
          <cell r="A1960">
            <v>30286</v>
          </cell>
          <cell r="B1960" t="str">
            <v>Moyen</v>
          </cell>
          <cell r="D1960" t="str">
            <v>*</v>
          </cell>
          <cell r="F1960">
            <v>1</v>
          </cell>
          <cell r="G1960">
            <v>0</v>
          </cell>
          <cell r="H1960">
            <v>153179.07863999999</v>
          </cell>
        </row>
        <row r="1961">
          <cell r="A1961">
            <v>30287</v>
          </cell>
          <cell r="B1961" t="str">
            <v>Moyen</v>
          </cell>
          <cell r="D1961" t="str">
            <v>*</v>
          </cell>
          <cell r="F1961">
            <v>1</v>
          </cell>
          <cell r="G1961">
            <v>0</v>
          </cell>
          <cell r="H1961">
            <v>699706.84839795902</v>
          </cell>
        </row>
        <row r="1962">
          <cell r="A1962">
            <v>30288</v>
          </cell>
          <cell r="B1962" t="str">
            <v>Moyen</v>
          </cell>
          <cell r="D1962" t="str">
            <v>*</v>
          </cell>
          <cell r="F1962">
            <v>1</v>
          </cell>
          <cell r="G1962">
            <v>0</v>
          </cell>
          <cell r="H1962">
            <v>0</v>
          </cell>
        </row>
        <row r="1963">
          <cell r="A1963">
            <v>30289</v>
          </cell>
          <cell r="B1963" t="str">
            <v>Moyen</v>
          </cell>
          <cell r="D1963" t="str">
            <v>*</v>
          </cell>
          <cell r="F1963">
            <v>1</v>
          </cell>
          <cell r="G1963">
            <v>0</v>
          </cell>
          <cell r="H1963">
            <v>0</v>
          </cell>
        </row>
        <row r="1964">
          <cell r="A1964">
            <v>30290</v>
          </cell>
          <cell r="B1964" t="str">
            <v>Moyen</v>
          </cell>
          <cell r="D1964" t="str">
            <v>*</v>
          </cell>
          <cell r="F1964">
            <v>1</v>
          </cell>
          <cell r="G1964">
            <v>0</v>
          </cell>
          <cell r="H1964">
            <v>43200</v>
          </cell>
        </row>
        <row r="1965">
          <cell r="A1965">
            <v>30291</v>
          </cell>
          <cell r="B1965" t="str">
            <v>Moyen</v>
          </cell>
          <cell r="D1965" t="str">
            <v>*</v>
          </cell>
          <cell r="F1965">
            <v>1</v>
          </cell>
          <cell r="G1965">
            <v>0</v>
          </cell>
          <cell r="H1965">
            <v>0</v>
          </cell>
        </row>
        <row r="1966">
          <cell r="A1966">
            <v>30292</v>
          </cell>
          <cell r="B1966" t="str">
            <v>Moyen</v>
          </cell>
          <cell r="D1966" t="str">
            <v>*</v>
          </cell>
          <cell r="F1966">
            <v>1</v>
          </cell>
          <cell r="G1966">
            <v>0</v>
          </cell>
          <cell r="H1966">
            <v>250256</v>
          </cell>
        </row>
        <row r="1967">
          <cell r="A1967">
            <v>30293</v>
          </cell>
          <cell r="B1967" t="str">
            <v>Moyen</v>
          </cell>
          <cell r="D1967" t="str">
            <v>*</v>
          </cell>
          <cell r="F1967">
            <v>1</v>
          </cell>
          <cell r="G1967">
            <v>0</v>
          </cell>
          <cell r="H1967">
            <v>0</v>
          </cell>
        </row>
        <row r="1968">
          <cell r="A1968">
            <v>30294</v>
          </cell>
          <cell r="B1968" t="str">
            <v>Moyen</v>
          </cell>
          <cell r="D1968" t="str">
            <v>*</v>
          </cell>
          <cell r="F1968">
            <v>1</v>
          </cell>
          <cell r="G1968">
            <v>0</v>
          </cell>
          <cell r="H1968">
            <v>23142.162960000001</v>
          </cell>
        </row>
        <row r="1969">
          <cell r="A1969">
            <v>30295</v>
          </cell>
          <cell r="B1969" t="str">
            <v>Moyen</v>
          </cell>
          <cell r="D1969" t="str">
            <v>*</v>
          </cell>
          <cell r="F1969">
            <v>1</v>
          </cell>
          <cell r="G1969">
            <v>0</v>
          </cell>
          <cell r="H1969">
            <v>0</v>
          </cell>
        </row>
        <row r="1970">
          <cell r="A1970">
            <v>30296</v>
          </cell>
          <cell r="B1970" t="str">
            <v>Moyen</v>
          </cell>
          <cell r="D1970" t="str">
            <v>*</v>
          </cell>
          <cell r="F1970">
            <v>1</v>
          </cell>
          <cell r="G1970">
            <v>0</v>
          </cell>
          <cell r="H1970">
            <v>0</v>
          </cell>
        </row>
        <row r="1971">
          <cell r="A1971">
            <v>30297</v>
          </cell>
          <cell r="B1971" t="str">
            <v>Moyen</v>
          </cell>
          <cell r="D1971" t="str">
            <v>*</v>
          </cell>
          <cell r="F1971">
            <v>1</v>
          </cell>
          <cell r="G1971">
            <v>0</v>
          </cell>
          <cell r="H1971">
            <v>0</v>
          </cell>
        </row>
        <row r="1972">
          <cell r="A1972">
            <v>30299</v>
          </cell>
          <cell r="B1972" t="str">
            <v>Moyen</v>
          </cell>
          <cell r="D1972" t="str">
            <v>*</v>
          </cell>
          <cell r="F1972">
            <v>1</v>
          </cell>
          <cell r="G1972">
            <v>0</v>
          </cell>
          <cell r="H1972">
            <v>950</v>
          </cell>
        </row>
        <row r="1973">
          <cell r="A1973">
            <v>30303</v>
          </cell>
          <cell r="B1973" t="str">
            <v>Moyen</v>
          </cell>
          <cell r="D1973" t="str">
            <v>*</v>
          </cell>
          <cell r="F1973">
            <v>1</v>
          </cell>
          <cell r="G1973">
            <v>0</v>
          </cell>
          <cell r="H1973">
            <v>256151.20850000001</v>
          </cell>
        </row>
        <row r="1974">
          <cell r="A1974">
            <v>30304</v>
          </cell>
          <cell r="B1974" t="str">
            <v>Moyen</v>
          </cell>
          <cell r="D1974" t="str">
            <v>*</v>
          </cell>
          <cell r="F1974">
            <v>1</v>
          </cell>
          <cell r="G1974">
            <v>0</v>
          </cell>
          <cell r="H1974">
            <v>0</v>
          </cell>
        </row>
        <row r="1975">
          <cell r="A1975">
            <v>30305</v>
          </cell>
          <cell r="B1975" t="str">
            <v>Moyen</v>
          </cell>
          <cell r="D1975" t="str">
            <v>*</v>
          </cell>
          <cell r="F1975">
            <v>1</v>
          </cell>
          <cell r="G1975">
            <v>0</v>
          </cell>
          <cell r="H1975">
            <v>45000</v>
          </cell>
        </row>
        <row r="1976">
          <cell r="A1976">
            <v>30308</v>
          </cell>
          <cell r="B1976" t="str">
            <v>Moyen</v>
          </cell>
          <cell r="D1976" t="str">
            <v>*</v>
          </cell>
          <cell r="F1976">
            <v>1</v>
          </cell>
          <cell r="G1976">
            <v>0</v>
          </cell>
          <cell r="H1976">
            <v>134194.54999999999</v>
          </cell>
        </row>
        <row r="1977">
          <cell r="A1977">
            <v>30312</v>
          </cell>
          <cell r="B1977" t="str">
            <v>Moyen</v>
          </cell>
          <cell r="D1977" t="str">
            <v>*</v>
          </cell>
          <cell r="F1977">
            <v>1</v>
          </cell>
          <cell r="G1977">
            <v>0</v>
          </cell>
          <cell r="H1977">
            <v>101</v>
          </cell>
        </row>
        <row r="1978">
          <cell r="A1978">
            <v>30313</v>
          </cell>
          <cell r="B1978" t="str">
            <v>Moyen</v>
          </cell>
          <cell r="D1978" t="str">
            <v>*</v>
          </cell>
          <cell r="F1978">
            <v>1</v>
          </cell>
          <cell r="G1978">
            <v>0</v>
          </cell>
          <cell r="H1978">
            <v>0</v>
          </cell>
        </row>
        <row r="1979">
          <cell r="A1979">
            <v>30314</v>
          </cell>
          <cell r="B1979" t="str">
            <v>Moyen</v>
          </cell>
          <cell r="D1979" t="str">
            <v>*</v>
          </cell>
          <cell r="F1979">
            <v>1</v>
          </cell>
          <cell r="G1979">
            <v>0</v>
          </cell>
          <cell r="H1979">
            <v>22860</v>
          </cell>
        </row>
        <row r="1980">
          <cell r="A1980">
            <v>30316</v>
          </cell>
          <cell r="B1980" t="str">
            <v>Moyen</v>
          </cell>
          <cell r="D1980" t="str">
            <v>*</v>
          </cell>
          <cell r="F1980">
            <v>1</v>
          </cell>
          <cell r="G1980">
            <v>0</v>
          </cell>
          <cell r="H1980">
            <v>450</v>
          </cell>
        </row>
        <row r="1981">
          <cell r="A1981">
            <v>30317</v>
          </cell>
          <cell r="B1981" t="str">
            <v>Moyen</v>
          </cell>
          <cell r="D1981" t="str">
            <v>*</v>
          </cell>
          <cell r="F1981">
            <v>1</v>
          </cell>
          <cell r="G1981">
            <v>0</v>
          </cell>
          <cell r="H1981">
            <v>30436.952002516598</v>
          </cell>
        </row>
        <row r="1982">
          <cell r="A1982">
            <v>30344</v>
          </cell>
          <cell r="B1982" t="str">
            <v>Moyen</v>
          </cell>
          <cell r="D1982" t="str">
            <v>*</v>
          </cell>
          <cell r="F1982">
            <v>1</v>
          </cell>
          <cell r="G1982">
            <v>0</v>
          </cell>
          <cell r="H1982">
            <v>0</v>
          </cell>
        </row>
        <row r="1983">
          <cell r="A1983">
            <v>30357</v>
          </cell>
          <cell r="B1983" t="str">
            <v>Moyen</v>
          </cell>
          <cell r="D1983" t="str">
            <v>*</v>
          </cell>
          <cell r="F1983">
            <v>1</v>
          </cell>
          <cell r="G1983">
            <v>0</v>
          </cell>
          <cell r="H1983">
            <v>581600.03202330996</v>
          </cell>
        </row>
        <row r="1984">
          <cell r="A1984">
            <v>30358</v>
          </cell>
          <cell r="B1984" t="str">
            <v>Moyen</v>
          </cell>
          <cell r="D1984" t="str">
            <v>*</v>
          </cell>
          <cell r="F1984">
            <v>1</v>
          </cell>
          <cell r="G1984">
            <v>0</v>
          </cell>
          <cell r="H1984">
            <v>0</v>
          </cell>
        </row>
        <row r="1985">
          <cell r="A1985">
            <v>30359</v>
          </cell>
          <cell r="B1985" t="str">
            <v>Moyen</v>
          </cell>
          <cell r="D1985" t="str">
            <v>*</v>
          </cell>
          <cell r="F1985">
            <v>1</v>
          </cell>
          <cell r="G1985">
            <v>0</v>
          </cell>
          <cell r="H1985">
            <v>3500</v>
          </cell>
        </row>
        <row r="1986">
          <cell r="A1986">
            <v>30360</v>
          </cell>
          <cell r="B1986" t="str">
            <v>Moyen</v>
          </cell>
          <cell r="D1986" t="str">
            <v>*</v>
          </cell>
          <cell r="F1986">
            <v>1</v>
          </cell>
          <cell r="G1986">
            <v>0</v>
          </cell>
          <cell r="H1986">
            <v>0</v>
          </cell>
        </row>
        <row r="1987">
          <cell r="A1987">
            <v>30365</v>
          </cell>
          <cell r="B1987" t="str">
            <v>Moyen</v>
          </cell>
          <cell r="D1987" t="str">
            <v>*</v>
          </cell>
          <cell r="F1987">
            <v>1</v>
          </cell>
          <cell r="G1987">
            <v>0</v>
          </cell>
          <cell r="H1987">
            <v>138776.00738896799</v>
          </cell>
        </row>
        <row r="1988">
          <cell r="A1988">
            <v>30366</v>
          </cell>
          <cell r="B1988" t="str">
            <v>Moyen</v>
          </cell>
          <cell r="D1988" t="str">
            <v>*</v>
          </cell>
          <cell r="F1988">
            <v>1</v>
          </cell>
          <cell r="G1988">
            <v>0</v>
          </cell>
          <cell r="H1988">
            <v>0</v>
          </cell>
        </row>
        <row r="1989">
          <cell r="A1989">
            <v>30492</v>
          </cell>
          <cell r="B1989" t="str">
            <v>Moyen</v>
          </cell>
          <cell r="D1989" t="str">
            <v>*</v>
          </cell>
          <cell r="F1989">
            <v>1</v>
          </cell>
          <cell r="G1989">
            <v>0</v>
          </cell>
          <cell r="H1989">
            <v>0</v>
          </cell>
        </row>
        <row r="1990">
          <cell r="A1990">
            <v>30493</v>
          </cell>
          <cell r="B1990" t="str">
            <v>Moyen</v>
          </cell>
          <cell r="D1990" t="str">
            <v>*</v>
          </cell>
          <cell r="F1990">
            <v>1</v>
          </cell>
          <cell r="G1990">
            <v>0</v>
          </cell>
          <cell r="H1990">
            <v>1387.5</v>
          </cell>
        </row>
        <row r="1991">
          <cell r="A1991">
            <v>30494</v>
          </cell>
          <cell r="B1991" t="str">
            <v>Moyen</v>
          </cell>
          <cell r="D1991" t="str">
            <v>*</v>
          </cell>
          <cell r="F1991">
            <v>1</v>
          </cell>
          <cell r="G1991">
            <v>0</v>
          </cell>
          <cell r="H1991">
            <v>0</v>
          </cell>
        </row>
        <row r="1992">
          <cell r="A1992">
            <v>30495</v>
          </cell>
          <cell r="B1992" t="str">
            <v>Moyen</v>
          </cell>
          <cell r="D1992" t="str">
            <v>*</v>
          </cell>
          <cell r="F1992">
            <v>1</v>
          </cell>
          <cell r="G1992">
            <v>0</v>
          </cell>
          <cell r="H1992">
            <v>0</v>
          </cell>
        </row>
        <row r="1993">
          <cell r="A1993">
            <v>30496</v>
          </cell>
          <cell r="B1993" t="str">
            <v>Moyen</v>
          </cell>
          <cell r="D1993" t="str">
            <v>*</v>
          </cell>
          <cell r="F1993">
            <v>1</v>
          </cell>
          <cell r="G1993">
            <v>0</v>
          </cell>
          <cell r="H1993">
            <v>0</v>
          </cell>
        </row>
        <row r="1994">
          <cell r="A1994">
            <v>30497</v>
          </cell>
          <cell r="B1994" t="str">
            <v>Moyen</v>
          </cell>
          <cell r="D1994" t="str">
            <v>*</v>
          </cell>
          <cell r="F1994">
            <v>1</v>
          </cell>
          <cell r="G1994">
            <v>0</v>
          </cell>
          <cell r="H1994">
            <v>773</v>
          </cell>
        </row>
        <row r="1995">
          <cell r="A1995">
            <v>30498</v>
          </cell>
          <cell r="B1995" t="str">
            <v>Moyen</v>
          </cell>
          <cell r="D1995" t="str">
            <v>*</v>
          </cell>
          <cell r="F1995">
            <v>1</v>
          </cell>
          <cell r="G1995">
            <v>0</v>
          </cell>
          <cell r="H1995">
            <v>0</v>
          </cell>
        </row>
        <row r="1996">
          <cell r="A1996">
            <v>30499</v>
          </cell>
          <cell r="B1996" t="str">
            <v>Moyen</v>
          </cell>
          <cell r="D1996" t="str">
            <v>*</v>
          </cell>
          <cell r="F1996">
            <v>1</v>
          </cell>
          <cell r="G1996">
            <v>0</v>
          </cell>
          <cell r="H1996">
            <v>0</v>
          </cell>
        </row>
        <row r="1997">
          <cell r="A1997">
            <v>30500</v>
          </cell>
          <cell r="B1997" t="str">
            <v>Moyen</v>
          </cell>
          <cell r="D1997" t="str">
            <v>*</v>
          </cell>
          <cell r="F1997">
            <v>1</v>
          </cell>
          <cell r="G1997">
            <v>0</v>
          </cell>
          <cell r="H1997">
            <v>0</v>
          </cell>
        </row>
        <row r="1998">
          <cell r="A1998">
            <v>30501</v>
          </cell>
          <cell r="B1998" t="str">
            <v>Moyen</v>
          </cell>
          <cell r="D1998" t="str">
            <v>*</v>
          </cell>
          <cell r="F1998">
            <v>1</v>
          </cell>
          <cell r="G1998">
            <v>0</v>
          </cell>
          <cell r="H1998">
            <v>0</v>
          </cell>
        </row>
        <row r="1999">
          <cell r="A1999">
            <v>30502</v>
          </cell>
          <cell r="B1999" t="str">
            <v>Moyen</v>
          </cell>
          <cell r="D1999" t="str">
            <v>*</v>
          </cell>
          <cell r="F1999">
            <v>1</v>
          </cell>
          <cell r="G1999">
            <v>0</v>
          </cell>
          <cell r="H1999">
            <v>0</v>
          </cell>
        </row>
        <row r="2000">
          <cell r="A2000">
            <v>30503</v>
          </cell>
          <cell r="B2000" t="str">
            <v>Moyen</v>
          </cell>
          <cell r="D2000" t="str">
            <v>*</v>
          </cell>
          <cell r="F2000">
            <v>1</v>
          </cell>
          <cell r="G2000">
            <v>0</v>
          </cell>
          <cell r="H2000">
            <v>1012.5</v>
          </cell>
        </row>
        <row r="2001">
          <cell r="A2001">
            <v>30504</v>
          </cell>
          <cell r="B2001" t="str">
            <v>Moyen</v>
          </cell>
          <cell r="D2001" t="str">
            <v>*</v>
          </cell>
          <cell r="F2001">
            <v>1</v>
          </cell>
          <cell r="G2001">
            <v>0</v>
          </cell>
          <cell r="H2001">
            <v>2320</v>
          </cell>
        </row>
        <row r="2002">
          <cell r="A2002">
            <v>30505</v>
          </cell>
          <cell r="B2002" t="str">
            <v>Moyen</v>
          </cell>
          <cell r="D2002" t="str">
            <v>*</v>
          </cell>
          <cell r="F2002">
            <v>1</v>
          </cell>
          <cell r="G2002">
            <v>0</v>
          </cell>
          <cell r="H2002">
            <v>0</v>
          </cell>
        </row>
        <row r="2003">
          <cell r="A2003">
            <v>30506</v>
          </cell>
          <cell r="B2003" t="str">
            <v>Moyen</v>
          </cell>
          <cell r="D2003" t="str">
            <v>*</v>
          </cell>
          <cell r="F2003">
            <v>1</v>
          </cell>
          <cell r="G2003">
            <v>0</v>
          </cell>
          <cell r="H2003">
            <v>0</v>
          </cell>
        </row>
        <row r="2004">
          <cell r="A2004">
            <v>30507</v>
          </cell>
          <cell r="B2004" t="str">
            <v>Moyen</v>
          </cell>
          <cell r="D2004" t="str">
            <v>*</v>
          </cell>
          <cell r="F2004">
            <v>1</v>
          </cell>
          <cell r="G2004">
            <v>0</v>
          </cell>
          <cell r="H2004">
            <v>0</v>
          </cell>
        </row>
        <row r="2005">
          <cell r="A2005">
            <v>30508</v>
          </cell>
          <cell r="B2005" t="str">
            <v>Moyen</v>
          </cell>
          <cell r="D2005" t="str">
            <v>*</v>
          </cell>
          <cell r="F2005">
            <v>1</v>
          </cell>
          <cell r="G2005">
            <v>0</v>
          </cell>
          <cell r="H2005">
            <v>0</v>
          </cell>
        </row>
        <row r="2006">
          <cell r="A2006">
            <v>30509</v>
          </cell>
          <cell r="B2006" t="str">
            <v>Moyen</v>
          </cell>
          <cell r="D2006" t="str">
            <v>*</v>
          </cell>
          <cell r="F2006">
            <v>1</v>
          </cell>
          <cell r="G2006">
            <v>0</v>
          </cell>
          <cell r="H2006">
            <v>0</v>
          </cell>
        </row>
        <row r="2007">
          <cell r="A2007">
            <v>30510</v>
          </cell>
          <cell r="B2007" t="str">
            <v>Moyen</v>
          </cell>
          <cell r="D2007" t="str">
            <v>*</v>
          </cell>
          <cell r="F2007">
            <v>1</v>
          </cell>
          <cell r="G2007">
            <v>0</v>
          </cell>
          <cell r="H2007">
            <v>0</v>
          </cell>
        </row>
        <row r="2008">
          <cell r="A2008">
            <v>30511</v>
          </cell>
          <cell r="B2008" t="str">
            <v>Moyen</v>
          </cell>
          <cell r="D2008" t="str">
            <v>*</v>
          </cell>
          <cell r="F2008">
            <v>1</v>
          </cell>
          <cell r="G2008">
            <v>0</v>
          </cell>
          <cell r="H2008">
            <v>0</v>
          </cell>
        </row>
        <row r="2009">
          <cell r="A2009">
            <v>30512</v>
          </cell>
          <cell r="B2009" t="str">
            <v>Moyen</v>
          </cell>
          <cell r="D2009" t="str">
            <v>*</v>
          </cell>
          <cell r="F2009">
            <v>1</v>
          </cell>
          <cell r="G2009">
            <v>0</v>
          </cell>
          <cell r="H2009">
            <v>0</v>
          </cell>
        </row>
        <row r="2010">
          <cell r="A2010">
            <v>30513</v>
          </cell>
          <cell r="B2010" t="str">
            <v>Moyen</v>
          </cell>
          <cell r="D2010" t="str">
            <v>*</v>
          </cell>
          <cell r="F2010">
            <v>1</v>
          </cell>
          <cell r="G2010">
            <v>0</v>
          </cell>
          <cell r="H2010">
            <v>25784.633999999998</v>
          </cell>
        </row>
        <row r="2011">
          <cell r="A2011">
            <v>30514</v>
          </cell>
          <cell r="B2011" t="str">
            <v>Moyen</v>
          </cell>
          <cell r="D2011" t="str">
            <v>*</v>
          </cell>
          <cell r="F2011">
            <v>1</v>
          </cell>
          <cell r="G2011">
            <v>0</v>
          </cell>
          <cell r="H2011">
            <v>1371250</v>
          </cell>
        </row>
        <row r="2012">
          <cell r="A2012">
            <v>30515</v>
          </cell>
          <cell r="B2012" t="str">
            <v>Moyen</v>
          </cell>
          <cell r="D2012" t="str">
            <v>*</v>
          </cell>
          <cell r="F2012">
            <v>1</v>
          </cell>
          <cell r="G2012">
            <v>0</v>
          </cell>
          <cell r="H2012">
            <v>351011</v>
          </cell>
        </row>
        <row r="2013">
          <cell r="A2013">
            <v>30516</v>
          </cell>
          <cell r="B2013" t="str">
            <v>Moyen</v>
          </cell>
          <cell r="D2013" t="str">
            <v>*</v>
          </cell>
          <cell r="F2013">
            <v>1</v>
          </cell>
          <cell r="G2013">
            <v>0</v>
          </cell>
          <cell r="H2013">
            <v>0</v>
          </cell>
        </row>
        <row r="2014">
          <cell r="A2014">
            <v>30517</v>
          </cell>
          <cell r="B2014" t="str">
            <v>Moyen</v>
          </cell>
          <cell r="D2014" t="str">
            <v>*</v>
          </cell>
          <cell r="F2014">
            <v>1</v>
          </cell>
          <cell r="G2014">
            <v>0</v>
          </cell>
          <cell r="H2014">
            <v>9602.5400000000009</v>
          </cell>
        </row>
        <row r="2015">
          <cell r="A2015">
            <v>30602</v>
          </cell>
          <cell r="B2015" t="str">
            <v>Moyen</v>
          </cell>
          <cell r="D2015" t="str">
            <v>*</v>
          </cell>
          <cell r="F2015">
            <v>1</v>
          </cell>
          <cell r="G2015">
            <v>0</v>
          </cell>
          <cell r="H2015">
            <v>0</v>
          </cell>
        </row>
        <row r="2016">
          <cell r="A2016">
            <v>30605</v>
          </cell>
          <cell r="B2016" t="str">
            <v>Moyen</v>
          </cell>
          <cell r="D2016" t="str">
            <v>*</v>
          </cell>
          <cell r="F2016">
            <v>1</v>
          </cell>
          <cell r="G2016">
            <v>0</v>
          </cell>
          <cell r="H2016">
            <v>0</v>
          </cell>
        </row>
        <row r="2017">
          <cell r="A2017">
            <v>30606</v>
          </cell>
          <cell r="B2017" t="str">
            <v>Moyen</v>
          </cell>
          <cell r="D2017" t="str">
            <v>*</v>
          </cell>
          <cell r="F2017">
            <v>1</v>
          </cell>
          <cell r="G2017">
            <v>0</v>
          </cell>
          <cell r="H2017">
            <v>0</v>
          </cell>
        </row>
        <row r="2018">
          <cell r="A2018">
            <v>30607</v>
          </cell>
          <cell r="B2018" t="str">
            <v>Moyen</v>
          </cell>
          <cell r="D2018" t="str">
            <v>*</v>
          </cell>
          <cell r="F2018">
            <v>1</v>
          </cell>
          <cell r="G2018">
            <v>0</v>
          </cell>
          <cell r="H2018">
            <v>0</v>
          </cell>
        </row>
        <row r="2019">
          <cell r="A2019">
            <v>30608</v>
          </cell>
          <cell r="B2019" t="str">
            <v>Moyen</v>
          </cell>
          <cell r="D2019" t="str">
            <v>*</v>
          </cell>
          <cell r="F2019">
            <v>1</v>
          </cell>
          <cell r="G2019">
            <v>0</v>
          </cell>
          <cell r="H2019">
            <v>0</v>
          </cell>
        </row>
        <row r="2020">
          <cell r="A2020">
            <v>30609</v>
          </cell>
          <cell r="B2020" t="str">
            <v>Moyen</v>
          </cell>
          <cell r="D2020" t="str">
            <v>*</v>
          </cell>
          <cell r="F2020">
            <v>1</v>
          </cell>
          <cell r="G2020">
            <v>0</v>
          </cell>
          <cell r="H2020">
            <v>11132</v>
          </cell>
        </row>
        <row r="2021">
          <cell r="A2021">
            <v>30610</v>
          </cell>
          <cell r="B2021" t="str">
            <v>Moyen</v>
          </cell>
          <cell r="D2021" t="str">
            <v>*</v>
          </cell>
          <cell r="F2021">
            <v>1</v>
          </cell>
          <cell r="G2021">
            <v>0</v>
          </cell>
          <cell r="H2021">
            <v>31125</v>
          </cell>
        </row>
        <row r="2022">
          <cell r="A2022">
            <v>30611</v>
          </cell>
          <cell r="B2022" t="str">
            <v>Moyen</v>
          </cell>
          <cell r="D2022" t="str">
            <v>*</v>
          </cell>
          <cell r="F2022">
            <v>1</v>
          </cell>
          <cell r="G2022">
            <v>0</v>
          </cell>
          <cell r="H2022">
            <v>625578.09957715205</v>
          </cell>
        </row>
        <row r="2023">
          <cell r="A2023">
            <v>30612</v>
          </cell>
          <cell r="B2023" t="str">
            <v>Moyen</v>
          </cell>
          <cell r="D2023" t="str">
            <v>*</v>
          </cell>
          <cell r="F2023">
            <v>1</v>
          </cell>
          <cell r="G2023">
            <v>0</v>
          </cell>
          <cell r="H2023">
            <v>0</v>
          </cell>
        </row>
        <row r="2024">
          <cell r="A2024">
            <v>30613</v>
          </cell>
          <cell r="B2024" t="str">
            <v>Moyen</v>
          </cell>
          <cell r="D2024" t="str">
            <v>*</v>
          </cell>
          <cell r="F2024">
            <v>1</v>
          </cell>
          <cell r="G2024">
            <v>0</v>
          </cell>
          <cell r="H2024">
            <v>0</v>
          </cell>
        </row>
        <row r="2025">
          <cell r="A2025">
            <v>30614</v>
          </cell>
          <cell r="B2025" t="str">
            <v>Moyen</v>
          </cell>
          <cell r="D2025" t="str">
            <v>*</v>
          </cell>
          <cell r="F2025">
            <v>1</v>
          </cell>
          <cell r="G2025">
            <v>0</v>
          </cell>
          <cell r="H2025">
            <v>0</v>
          </cell>
        </row>
        <row r="2026">
          <cell r="A2026">
            <v>30615</v>
          </cell>
          <cell r="B2026" t="str">
            <v>Moyen</v>
          </cell>
          <cell r="D2026" t="str">
            <v>*</v>
          </cell>
          <cell r="F2026">
            <v>1</v>
          </cell>
          <cell r="G2026">
            <v>0</v>
          </cell>
          <cell r="H2026">
            <v>0</v>
          </cell>
        </row>
        <row r="2027">
          <cell r="A2027">
            <v>30616</v>
          </cell>
          <cell r="B2027" t="str">
            <v>Moyen</v>
          </cell>
          <cell r="D2027" t="str">
            <v>*</v>
          </cell>
          <cell r="F2027">
            <v>1</v>
          </cell>
          <cell r="G2027">
            <v>0</v>
          </cell>
          <cell r="H2027">
            <v>0</v>
          </cell>
        </row>
        <row r="2028">
          <cell r="A2028">
            <v>30617</v>
          </cell>
          <cell r="B2028" t="str">
            <v>Moyen</v>
          </cell>
          <cell r="D2028" t="str">
            <v>*</v>
          </cell>
          <cell r="F2028">
            <v>1</v>
          </cell>
          <cell r="G2028">
            <v>0</v>
          </cell>
          <cell r="H2028">
            <v>85688</v>
          </cell>
        </row>
        <row r="2029">
          <cell r="A2029">
            <v>30618</v>
          </cell>
          <cell r="B2029" t="str">
            <v>Moyen</v>
          </cell>
          <cell r="D2029" t="str">
            <v>*</v>
          </cell>
          <cell r="F2029">
            <v>1</v>
          </cell>
          <cell r="G2029">
            <v>0</v>
          </cell>
          <cell r="H2029">
            <v>145661.81142000001</v>
          </cell>
        </row>
        <row r="2030">
          <cell r="A2030">
            <v>30619</v>
          </cell>
          <cell r="B2030" t="str">
            <v>Moyen</v>
          </cell>
          <cell r="D2030" t="str">
            <v>*</v>
          </cell>
          <cell r="F2030">
            <v>1</v>
          </cell>
          <cell r="G2030">
            <v>0</v>
          </cell>
          <cell r="H2030">
            <v>0</v>
          </cell>
        </row>
        <row r="2031">
          <cell r="A2031">
            <v>30620</v>
          </cell>
          <cell r="B2031" t="str">
            <v>Moyen</v>
          </cell>
          <cell r="D2031" t="str">
            <v>*</v>
          </cell>
          <cell r="F2031">
            <v>1</v>
          </cell>
          <cell r="G2031">
            <v>0</v>
          </cell>
          <cell r="H2031">
            <v>0</v>
          </cell>
        </row>
        <row r="2032">
          <cell r="A2032">
            <v>30681</v>
          </cell>
          <cell r="B2032" t="str">
            <v>Moyen</v>
          </cell>
          <cell r="D2032" t="str">
            <v>*</v>
          </cell>
          <cell r="F2032">
            <v>1</v>
          </cell>
          <cell r="G2032">
            <v>0</v>
          </cell>
          <cell r="H2032">
            <v>0</v>
          </cell>
        </row>
        <row r="2033">
          <cell r="A2033">
            <v>30682</v>
          </cell>
          <cell r="B2033" t="str">
            <v>Moyen</v>
          </cell>
          <cell r="D2033" t="str">
            <v>*</v>
          </cell>
          <cell r="F2033">
            <v>1</v>
          </cell>
          <cell r="G2033">
            <v>0</v>
          </cell>
          <cell r="H2033">
            <v>10777</v>
          </cell>
        </row>
        <row r="2034">
          <cell r="A2034">
            <v>30683</v>
          </cell>
          <cell r="B2034" t="str">
            <v>Moyen</v>
          </cell>
          <cell r="D2034" t="str">
            <v>*</v>
          </cell>
          <cell r="F2034">
            <v>1</v>
          </cell>
          <cell r="G2034">
            <v>0</v>
          </cell>
          <cell r="H2034">
            <v>11689</v>
          </cell>
        </row>
        <row r="2035">
          <cell r="A2035">
            <v>30684</v>
          </cell>
          <cell r="B2035" t="str">
            <v>Moyen</v>
          </cell>
          <cell r="D2035" t="str">
            <v>*</v>
          </cell>
          <cell r="F2035">
            <v>1</v>
          </cell>
          <cell r="G2035">
            <v>0</v>
          </cell>
          <cell r="H2035">
            <v>0</v>
          </cell>
        </row>
        <row r="2036">
          <cell r="A2036">
            <v>30685</v>
          </cell>
          <cell r="B2036" t="str">
            <v>Moyen</v>
          </cell>
          <cell r="D2036" t="str">
            <v>*</v>
          </cell>
          <cell r="F2036">
            <v>1</v>
          </cell>
          <cell r="G2036">
            <v>0</v>
          </cell>
          <cell r="H2036">
            <v>0</v>
          </cell>
        </row>
        <row r="2037">
          <cell r="A2037">
            <v>30709</v>
          </cell>
          <cell r="B2037" t="str">
            <v>Moyen</v>
          </cell>
          <cell r="D2037" t="str">
            <v>*</v>
          </cell>
          <cell r="F2037">
            <v>1</v>
          </cell>
          <cell r="G2037">
            <v>0</v>
          </cell>
          <cell r="H2037">
            <v>0</v>
          </cell>
        </row>
        <row r="2038">
          <cell r="A2038">
            <v>30815</v>
          </cell>
          <cell r="B2038" t="str">
            <v>Moyen</v>
          </cell>
          <cell r="D2038" t="str">
            <v>*</v>
          </cell>
          <cell r="F2038">
            <v>1</v>
          </cell>
          <cell r="G2038">
            <v>0</v>
          </cell>
          <cell r="H2038">
            <v>8118</v>
          </cell>
        </row>
        <row r="2039">
          <cell r="A2039">
            <v>30816</v>
          </cell>
          <cell r="B2039" t="str">
            <v>Moyen</v>
          </cell>
          <cell r="D2039" t="str">
            <v>*</v>
          </cell>
          <cell r="F2039">
            <v>1</v>
          </cell>
          <cell r="G2039">
            <v>0</v>
          </cell>
          <cell r="H2039">
            <v>6248</v>
          </cell>
        </row>
        <row r="2040">
          <cell r="A2040">
            <v>30817</v>
          </cell>
          <cell r="B2040" t="str">
            <v>Moyen</v>
          </cell>
          <cell r="D2040" t="str">
            <v>*</v>
          </cell>
          <cell r="F2040">
            <v>1</v>
          </cell>
          <cell r="G2040">
            <v>0</v>
          </cell>
          <cell r="H2040">
            <v>0</v>
          </cell>
        </row>
        <row r="2041">
          <cell r="A2041">
            <v>30818</v>
          </cell>
          <cell r="B2041" t="str">
            <v>Moyen</v>
          </cell>
          <cell r="D2041" t="str">
            <v>*</v>
          </cell>
          <cell r="F2041">
            <v>1</v>
          </cell>
          <cell r="G2041">
            <v>0</v>
          </cell>
          <cell r="H2041">
            <v>0</v>
          </cell>
        </row>
        <row r="2042">
          <cell r="A2042">
            <v>30819</v>
          </cell>
          <cell r="B2042" t="str">
            <v>Moyen</v>
          </cell>
          <cell r="D2042" t="str">
            <v>*</v>
          </cell>
          <cell r="F2042">
            <v>1</v>
          </cell>
          <cell r="G2042">
            <v>0</v>
          </cell>
          <cell r="H2042">
            <v>9644</v>
          </cell>
        </row>
        <row r="2043">
          <cell r="A2043">
            <v>30828</v>
          </cell>
          <cell r="B2043" t="str">
            <v>Moyen</v>
          </cell>
          <cell r="D2043" t="str">
            <v>*</v>
          </cell>
          <cell r="F2043">
            <v>1</v>
          </cell>
          <cell r="G2043">
            <v>0</v>
          </cell>
          <cell r="H2043">
            <v>0</v>
          </cell>
        </row>
        <row r="2044">
          <cell r="A2044">
            <v>30829</v>
          </cell>
          <cell r="B2044" t="str">
            <v>Moyen</v>
          </cell>
          <cell r="D2044" t="str">
            <v>*</v>
          </cell>
          <cell r="F2044">
            <v>1</v>
          </cell>
          <cell r="G2044">
            <v>0</v>
          </cell>
          <cell r="H2044">
            <v>0</v>
          </cell>
        </row>
        <row r="2045">
          <cell r="A2045">
            <v>30830</v>
          </cell>
          <cell r="B2045" t="str">
            <v>Moyen</v>
          </cell>
          <cell r="D2045" t="str">
            <v>*</v>
          </cell>
          <cell r="F2045">
            <v>1</v>
          </cell>
          <cell r="G2045">
            <v>0</v>
          </cell>
          <cell r="H2045">
            <v>0</v>
          </cell>
        </row>
        <row r="2046">
          <cell r="A2046">
            <v>30831</v>
          </cell>
          <cell r="B2046" t="str">
            <v>Moyen</v>
          </cell>
          <cell r="D2046" t="str">
            <v>*</v>
          </cell>
          <cell r="F2046">
            <v>1</v>
          </cell>
          <cell r="G2046">
            <v>0</v>
          </cell>
          <cell r="H2046">
            <v>0</v>
          </cell>
        </row>
        <row r="2047">
          <cell r="A2047">
            <v>30834</v>
          </cell>
          <cell r="B2047" t="str">
            <v>Moyen</v>
          </cell>
          <cell r="D2047" t="str">
            <v>*</v>
          </cell>
          <cell r="F2047">
            <v>1</v>
          </cell>
          <cell r="G2047">
            <v>0</v>
          </cell>
          <cell r="H2047">
            <v>249264</v>
          </cell>
        </row>
        <row r="2048">
          <cell r="A2048">
            <v>30835</v>
          </cell>
          <cell r="B2048" t="str">
            <v>Moyen</v>
          </cell>
          <cell r="D2048" t="str">
            <v>*</v>
          </cell>
          <cell r="F2048">
            <v>1</v>
          </cell>
          <cell r="G2048">
            <v>0</v>
          </cell>
          <cell r="H2048">
            <v>249264</v>
          </cell>
        </row>
        <row r="2049">
          <cell r="A2049">
            <v>30836</v>
          </cell>
          <cell r="B2049" t="str">
            <v>Moyen</v>
          </cell>
          <cell r="D2049" t="str">
            <v>*</v>
          </cell>
          <cell r="F2049">
            <v>1</v>
          </cell>
          <cell r="G2049">
            <v>0</v>
          </cell>
          <cell r="H2049">
            <v>2492637</v>
          </cell>
        </row>
        <row r="2050">
          <cell r="A2050">
            <v>30837</v>
          </cell>
          <cell r="B2050" t="str">
            <v>Moyen</v>
          </cell>
          <cell r="D2050" t="str">
            <v>*</v>
          </cell>
          <cell r="F2050">
            <v>1</v>
          </cell>
          <cell r="G2050">
            <v>0</v>
          </cell>
          <cell r="H2050">
            <v>249264</v>
          </cell>
        </row>
        <row r="2051">
          <cell r="A2051">
            <v>30839</v>
          </cell>
          <cell r="B2051" t="str">
            <v>Moyen</v>
          </cell>
          <cell r="D2051" t="str">
            <v>*</v>
          </cell>
          <cell r="F2051">
            <v>1</v>
          </cell>
          <cell r="G2051">
            <v>0</v>
          </cell>
          <cell r="H2051">
            <v>0</v>
          </cell>
        </row>
        <row r="2052">
          <cell r="A2052">
            <v>30840</v>
          </cell>
          <cell r="B2052" t="str">
            <v>Moyen</v>
          </cell>
          <cell r="D2052" t="str">
            <v>*</v>
          </cell>
          <cell r="F2052">
            <v>1</v>
          </cell>
          <cell r="G2052">
            <v>0</v>
          </cell>
          <cell r="H2052">
            <v>0</v>
          </cell>
        </row>
        <row r="2053">
          <cell r="A2053">
            <v>30841</v>
          </cell>
          <cell r="B2053" t="str">
            <v>Moyen</v>
          </cell>
          <cell r="D2053" t="str">
            <v>*</v>
          </cell>
          <cell r="F2053">
            <v>1</v>
          </cell>
          <cell r="G2053">
            <v>0</v>
          </cell>
          <cell r="H2053">
            <v>0</v>
          </cell>
        </row>
        <row r="2054">
          <cell r="A2054">
            <v>30842</v>
          </cell>
          <cell r="B2054" t="str">
            <v>Moyen</v>
          </cell>
          <cell r="D2054" t="str">
            <v>*</v>
          </cell>
          <cell r="F2054">
            <v>1</v>
          </cell>
          <cell r="G2054">
            <v>0</v>
          </cell>
          <cell r="H2054">
            <v>380</v>
          </cell>
        </row>
        <row r="2055">
          <cell r="A2055">
            <v>30868</v>
          </cell>
          <cell r="B2055" t="str">
            <v>Moyen</v>
          </cell>
          <cell r="D2055" t="str">
            <v>*</v>
          </cell>
          <cell r="F2055">
            <v>1</v>
          </cell>
          <cell r="G2055">
            <v>0</v>
          </cell>
          <cell r="H2055">
            <v>0</v>
          </cell>
        </row>
        <row r="2056">
          <cell r="A2056">
            <v>30869</v>
          </cell>
          <cell r="B2056" t="str">
            <v>Moyen</v>
          </cell>
          <cell r="D2056" t="str">
            <v>*</v>
          </cell>
          <cell r="F2056">
            <v>1</v>
          </cell>
          <cell r="G2056">
            <v>0</v>
          </cell>
          <cell r="H2056">
            <v>0</v>
          </cell>
        </row>
        <row r="2057">
          <cell r="A2057">
            <v>30870</v>
          </cell>
          <cell r="B2057" t="str">
            <v>Moyen</v>
          </cell>
          <cell r="D2057" t="str">
            <v>*</v>
          </cell>
          <cell r="F2057">
            <v>1</v>
          </cell>
          <cell r="G2057">
            <v>0</v>
          </cell>
          <cell r="H2057">
            <v>0</v>
          </cell>
        </row>
        <row r="2058">
          <cell r="A2058">
            <v>30871</v>
          </cell>
          <cell r="B2058" t="str">
            <v>Moyen</v>
          </cell>
          <cell r="D2058" t="str">
            <v>*</v>
          </cell>
          <cell r="F2058">
            <v>1</v>
          </cell>
          <cell r="G2058">
            <v>0</v>
          </cell>
          <cell r="H2058">
            <v>0</v>
          </cell>
        </row>
        <row r="2059">
          <cell r="A2059">
            <v>30872</v>
          </cell>
          <cell r="B2059" t="str">
            <v>Moyen</v>
          </cell>
          <cell r="D2059" t="str">
            <v>*</v>
          </cell>
          <cell r="F2059">
            <v>1</v>
          </cell>
          <cell r="G2059">
            <v>0</v>
          </cell>
          <cell r="H2059">
            <v>0</v>
          </cell>
        </row>
        <row r="2060">
          <cell r="A2060">
            <v>30873</v>
          </cell>
          <cell r="B2060" t="str">
            <v>Moyen</v>
          </cell>
          <cell r="D2060" t="str">
            <v>*</v>
          </cell>
          <cell r="F2060">
            <v>1</v>
          </cell>
          <cell r="G2060">
            <v>0</v>
          </cell>
          <cell r="H2060">
            <v>3250</v>
          </cell>
        </row>
        <row r="2061">
          <cell r="A2061">
            <v>30874</v>
          </cell>
          <cell r="B2061" t="str">
            <v>Moyen</v>
          </cell>
          <cell r="D2061" t="str">
            <v>*</v>
          </cell>
          <cell r="F2061">
            <v>1</v>
          </cell>
          <cell r="G2061">
            <v>0</v>
          </cell>
          <cell r="H2061">
            <v>37537</v>
          </cell>
        </row>
        <row r="2062">
          <cell r="A2062">
            <v>30875</v>
          </cell>
          <cell r="B2062" t="str">
            <v>Moyen</v>
          </cell>
          <cell r="D2062" t="str">
            <v>*</v>
          </cell>
          <cell r="F2062">
            <v>1</v>
          </cell>
          <cell r="G2062">
            <v>0</v>
          </cell>
          <cell r="H2062">
            <v>111414</v>
          </cell>
        </row>
        <row r="2063">
          <cell r="A2063">
            <v>30876</v>
          </cell>
          <cell r="B2063" t="str">
            <v>Moyen</v>
          </cell>
          <cell r="D2063" t="str">
            <v>*</v>
          </cell>
          <cell r="F2063">
            <v>1</v>
          </cell>
          <cell r="G2063">
            <v>0</v>
          </cell>
          <cell r="H2063">
            <v>753301</v>
          </cell>
        </row>
        <row r="2064">
          <cell r="A2064">
            <v>30885</v>
          </cell>
          <cell r="B2064" t="str">
            <v>Moyen</v>
          </cell>
          <cell r="D2064" t="str">
            <v>*</v>
          </cell>
          <cell r="F2064">
            <v>1</v>
          </cell>
          <cell r="G2064">
            <v>0</v>
          </cell>
          <cell r="H2064">
            <v>0</v>
          </cell>
        </row>
        <row r="2065">
          <cell r="A2065">
            <v>30886</v>
          </cell>
          <cell r="B2065" t="str">
            <v>Moyen</v>
          </cell>
          <cell r="D2065" t="str">
            <v>*</v>
          </cell>
          <cell r="F2065">
            <v>1</v>
          </cell>
          <cell r="G2065">
            <v>0</v>
          </cell>
          <cell r="H2065">
            <v>0</v>
          </cell>
        </row>
        <row r="2066">
          <cell r="A2066">
            <v>30887</v>
          </cell>
          <cell r="B2066" t="str">
            <v>Moyen</v>
          </cell>
          <cell r="D2066" t="str">
            <v>*</v>
          </cell>
          <cell r="F2066">
            <v>1</v>
          </cell>
          <cell r="G2066">
            <v>0</v>
          </cell>
          <cell r="H2066">
            <v>0</v>
          </cell>
        </row>
        <row r="2067">
          <cell r="A2067">
            <v>30939</v>
          </cell>
          <cell r="B2067" t="str">
            <v>Moyen</v>
          </cell>
          <cell r="D2067" t="str">
            <v>*</v>
          </cell>
          <cell r="F2067">
            <v>1</v>
          </cell>
          <cell r="G2067">
            <v>0</v>
          </cell>
          <cell r="H2067">
            <v>6805.4253114767098</v>
          </cell>
        </row>
        <row r="2068">
          <cell r="A2068">
            <v>30941</v>
          </cell>
          <cell r="B2068" t="str">
            <v>Moyen</v>
          </cell>
          <cell r="D2068" t="str">
            <v>*</v>
          </cell>
          <cell r="F2068">
            <v>1</v>
          </cell>
          <cell r="G2068">
            <v>0</v>
          </cell>
          <cell r="H2068">
            <v>0</v>
          </cell>
        </row>
        <row r="2069">
          <cell r="A2069">
            <v>30942</v>
          </cell>
          <cell r="B2069" t="str">
            <v>Moyen</v>
          </cell>
          <cell r="D2069" t="str">
            <v>*</v>
          </cell>
          <cell r="F2069">
            <v>1</v>
          </cell>
          <cell r="G2069">
            <v>0</v>
          </cell>
          <cell r="H2069">
            <v>0</v>
          </cell>
        </row>
        <row r="2070">
          <cell r="A2070">
            <v>30943</v>
          </cell>
          <cell r="B2070" t="str">
            <v>Moyen</v>
          </cell>
          <cell r="D2070" t="str">
            <v>*</v>
          </cell>
          <cell r="F2070">
            <v>1</v>
          </cell>
          <cell r="G2070">
            <v>0</v>
          </cell>
          <cell r="H2070">
            <v>0</v>
          </cell>
        </row>
        <row r="2071">
          <cell r="A2071">
            <v>30945</v>
          </cell>
          <cell r="B2071" t="str">
            <v>Moyen</v>
          </cell>
          <cell r="D2071" t="str">
            <v>*</v>
          </cell>
          <cell r="F2071">
            <v>1</v>
          </cell>
          <cell r="G2071">
            <v>0</v>
          </cell>
          <cell r="H2071">
            <v>7758</v>
          </cell>
        </row>
        <row r="2072">
          <cell r="A2072">
            <v>30946</v>
          </cell>
          <cell r="B2072" t="str">
            <v>Moyen</v>
          </cell>
          <cell r="D2072" t="str">
            <v>*</v>
          </cell>
          <cell r="F2072">
            <v>1</v>
          </cell>
          <cell r="G2072">
            <v>0</v>
          </cell>
          <cell r="H2072">
            <v>34188</v>
          </cell>
        </row>
        <row r="2073">
          <cell r="A2073">
            <v>30954</v>
          </cell>
          <cell r="B2073" t="str">
            <v>Moyen</v>
          </cell>
          <cell r="D2073" t="str">
            <v>*</v>
          </cell>
          <cell r="F2073">
            <v>1</v>
          </cell>
          <cell r="G2073">
            <v>0</v>
          </cell>
          <cell r="H2073">
            <v>23686.18</v>
          </cell>
        </row>
        <row r="2074">
          <cell r="A2074">
            <v>30955</v>
          </cell>
          <cell r="B2074" t="str">
            <v>Moyen</v>
          </cell>
          <cell r="D2074" t="str">
            <v>*</v>
          </cell>
          <cell r="F2074">
            <v>1</v>
          </cell>
          <cell r="G2074">
            <v>0</v>
          </cell>
          <cell r="H2074">
            <v>0</v>
          </cell>
        </row>
        <row r="2075">
          <cell r="A2075">
            <v>30961</v>
          </cell>
          <cell r="B2075" t="str">
            <v>Moyen</v>
          </cell>
          <cell r="D2075" t="str">
            <v>*</v>
          </cell>
          <cell r="F2075">
            <v>1</v>
          </cell>
          <cell r="G2075">
            <v>0</v>
          </cell>
          <cell r="H2075">
            <v>0</v>
          </cell>
        </row>
        <row r="2076">
          <cell r="A2076">
            <v>30962</v>
          </cell>
          <cell r="B2076" t="str">
            <v>Moyen</v>
          </cell>
          <cell r="D2076" t="str">
            <v>*</v>
          </cell>
          <cell r="F2076">
            <v>1</v>
          </cell>
          <cell r="G2076">
            <v>0</v>
          </cell>
          <cell r="H2076">
            <v>0</v>
          </cell>
        </row>
        <row r="2077">
          <cell r="A2077">
            <v>30963</v>
          </cell>
          <cell r="B2077" t="str">
            <v>Moyen</v>
          </cell>
          <cell r="D2077" t="str">
            <v>*</v>
          </cell>
          <cell r="F2077">
            <v>1</v>
          </cell>
          <cell r="G2077">
            <v>0</v>
          </cell>
          <cell r="H2077">
            <v>0</v>
          </cell>
        </row>
        <row r="2078">
          <cell r="A2078">
            <v>30964</v>
          </cell>
          <cell r="B2078" t="str">
            <v>Moyen</v>
          </cell>
          <cell r="D2078" t="str">
            <v>*</v>
          </cell>
          <cell r="F2078">
            <v>1</v>
          </cell>
          <cell r="G2078">
            <v>0</v>
          </cell>
          <cell r="H2078">
            <v>0</v>
          </cell>
        </row>
        <row r="2079">
          <cell r="A2079">
            <v>30965</v>
          </cell>
          <cell r="B2079" t="str">
            <v>Moyen</v>
          </cell>
          <cell r="D2079" t="str">
            <v>*</v>
          </cell>
          <cell r="F2079">
            <v>1</v>
          </cell>
          <cell r="G2079">
            <v>0</v>
          </cell>
          <cell r="H2079">
            <v>0</v>
          </cell>
        </row>
        <row r="2080">
          <cell r="A2080">
            <v>30966</v>
          </cell>
          <cell r="B2080" t="str">
            <v>Moyen</v>
          </cell>
          <cell r="D2080" t="str">
            <v>*</v>
          </cell>
          <cell r="F2080">
            <v>1</v>
          </cell>
          <cell r="G2080">
            <v>0</v>
          </cell>
          <cell r="H2080">
            <v>0</v>
          </cell>
        </row>
        <row r="2081">
          <cell r="A2081">
            <v>30967</v>
          </cell>
          <cell r="B2081" t="str">
            <v>Moyen</v>
          </cell>
          <cell r="D2081" t="str">
            <v>*</v>
          </cell>
          <cell r="F2081">
            <v>1</v>
          </cell>
          <cell r="G2081">
            <v>0</v>
          </cell>
          <cell r="H2081">
            <v>1132662</v>
          </cell>
        </row>
        <row r="2082">
          <cell r="A2082">
            <v>30968</v>
          </cell>
          <cell r="B2082" t="str">
            <v>Moyen</v>
          </cell>
          <cell r="D2082" t="str">
            <v>*</v>
          </cell>
          <cell r="F2082">
            <v>1</v>
          </cell>
          <cell r="G2082">
            <v>0</v>
          </cell>
          <cell r="H2082">
            <v>0</v>
          </cell>
        </row>
        <row r="2083">
          <cell r="A2083">
            <v>30969</v>
          </cell>
          <cell r="B2083" t="str">
            <v>Moyen</v>
          </cell>
          <cell r="D2083" t="str">
            <v>*</v>
          </cell>
          <cell r="F2083">
            <v>1</v>
          </cell>
          <cell r="G2083">
            <v>0</v>
          </cell>
          <cell r="H2083">
            <v>0</v>
          </cell>
        </row>
        <row r="2084">
          <cell r="A2084">
            <v>30970</v>
          </cell>
          <cell r="B2084" t="str">
            <v>Moyen</v>
          </cell>
          <cell r="D2084" t="str">
            <v>*</v>
          </cell>
          <cell r="F2084">
            <v>1</v>
          </cell>
          <cell r="G2084">
            <v>0</v>
          </cell>
          <cell r="H2084">
            <v>59990</v>
          </cell>
        </row>
        <row r="2085">
          <cell r="A2085">
            <v>30971</v>
          </cell>
          <cell r="B2085" t="str">
            <v>Moyen</v>
          </cell>
          <cell r="D2085" t="str">
            <v>*</v>
          </cell>
          <cell r="F2085">
            <v>1</v>
          </cell>
          <cell r="G2085">
            <v>0</v>
          </cell>
          <cell r="H2085">
            <v>75000</v>
          </cell>
        </row>
        <row r="2086">
          <cell r="A2086">
            <v>30972</v>
          </cell>
          <cell r="B2086" t="str">
            <v>Moyen</v>
          </cell>
          <cell r="D2086" t="str">
            <v>*</v>
          </cell>
          <cell r="F2086">
            <v>1</v>
          </cell>
          <cell r="G2086">
            <v>0</v>
          </cell>
          <cell r="H2086">
            <v>98500</v>
          </cell>
        </row>
        <row r="2087">
          <cell r="A2087">
            <v>30977</v>
          </cell>
          <cell r="B2087" t="str">
            <v>Moyen</v>
          </cell>
          <cell r="D2087" t="str">
            <v>*</v>
          </cell>
          <cell r="F2087">
            <v>1</v>
          </cell>
          <cell r="G2087">
            <v>0</v>
          </cell>
          <cell r="H2087">
            <v>191.95414925927801</v>
          </cell>
        </row>
        <row r="2088">
          <cell r="A2088">
            <v>30979</v>
          </cell>
          <cell r="B2088" t="str">
            <v>Moyen</v>
          </cell>
          <cell r="D2088" t="str">
            <v>*</v>
          </cell>
          <cell r="F2088">
            <v>1</v>
          </cell>
          <cell r="G2088">
            <v>0</v>
          </cell>
          <cell r="H2088">
            <v>0</v>
          </cell>
        </row>
        <row r="2089">
          <cell r="A2089">
            <v>30990</v>
          </cell>
          <cell r="B2089" t="str">
            <v>Moyen</v>
          </cell>
          <cell r="D2089" t="str">
            <v>*</v>
          </cell>
          <cell r="F2089">
            <v>1</v>
          </cell>
          <cell r="G2089">
            <v>0</v>
          </cell>
          <cell r="H2089">
            <v>397898.95056335197</v>
          </cell>
        </row>
        <row r="2090">
          <cell r="A2090">
            <v>30991</v>
          </cell>
          <cell r="B2090" t="str">
            <v>Moyen</v>
          </cell>
          <cell r="D2090" t="str">
            <v>*</v>
          </cell>
          <cell r="F2090">
            <v>1</v>
          </cell>
          <cell r="G2090">
            <v>0</v>
          </cell>
          <cell r="H2090">
            <v>0</v>
          </cell>
        </row>
        <row r="2091">
          <cell r="A2091">
            <v>30992</v>
          </cell>
          <cell r="B2091" t="str">
            <v>Moyen</v>
          </cell>
          <cell r="D2091" t="str">
            <v>*</v>
          </cell>
          <cell r="F2091">
            <v>1</v>
          </cell>
          <cell r="G2091">
            <v>0</v>
          </cell>
          <cell r="H2091">
            <v>0</v>
          </cell>
        </row>
        <row r="2092">
          <cell r="A2092">
            <v>30993</v>
          </cell>
          <cell r="B2092" t="str">
            <v>Moyen</v>
          </cell>
          <cell r="D2092" t="str">
            <v>*</v>
          </cell>
          <cell r="F2092">
            <v>1</v>
          </cell>
          <cell r="G2092">
            <v>0</v>
          </cell>
          <cell r="H2092">
            <v>0</v>
          </cell>
        </row>
        <row r="2093">
          <cell r="A2093">
            <v>30994</v>
          </cell>
          <cell r="B2093" t="str">
            <v>Moyen</v>
          </cell>
          <cell r="D2093" t="str">
            <v>*</v>
          </cell>
          <cell r="F2093">
            <v>1</v>
          </cell>
          <cell r="G2093">
            <v>0</v>
          </cell>
          <cell r="H2093">
            <v>0</v>
          </cell>
        </row>
        <row r="2094">
          <cell r="A2094">
            <v>30995</v>
          </cell>
          <cell r="B2094" t="str">
            <v>Moyen</v>
          </cell>
          <cell r="D2094" t="str">
            <v>*</v>
          </cell>
          <cell r="F2094">
            <v>1</v>
          </cell>
          <cell r="G2094">
            <v>0</v>
          </cell>
          <cell r="H2094">
            <v>0</v>
          </cell>
        </row>
        <row r="2095">
          <cell r="A2095">
            <v>30998</v>
          </cell>
          <cell r="B2095" t="str">
            <v>Moyen</v>
          </cell>
          <cell r="D2095" t="str">
            <v>*</v>
          </cell>
          <cell r="F2095">
            <v>1</v>
          </cell>
          <cell r="G2095">
            <v>0</v>
          </cell>
          <cell r="H2095">
            <v>0</v>
          </cell>
        </row>
        <row r="2096">
          <cell r="A2096">
            <v>30999</v>
          </cell>
          <cell r="B2096" t="str">
            <v>Moyen</v>
          </cell>
          <cell r="D2096" t="str">
            <v>*</v>
          </cell>
          <cell r="F2096">
            <v>1</v>
          </cell>
          <cell r="G2096">
            <v>0</v>
          </cell>
          <cell r="H2096">
            <v>0</v>
          </cell>
        </row>
        <row r="2097">
          <cell r="A2097">
            <v>31000</v>
          </cell>
          <cell r="B2097" t="str">
            <v>Moyen</v>
          </cell>
          <cell r="D2097" t="str">
            <v>*</v>
          </cell>
          <cell r="F2097">
            <v>1</v>
          </cell>
          <cell r="G2097">
            <v>0</v>
          </cell>
          <cell r="H2097">
            <v>0</v>
          </cell>
        </row>
        <row r="2098">
          <cell r="A2098">
            <v>31001</v>
          </cell>
          <cell r="B2098" t="str">
            <v>Moyen</v>
          </cell>
          <cell r="D2098" t="str">
            <v>*</v>
          </cell>
          <cell r="F2098">
            <v>1</v>
          </cell>
          <cell r="G2098">
            <v>0</v>
          </cell>
          <cell r="H2098">
            <v>0</v>
          </cell>
        </row>
        <row r="2099">
          <cell r="A2099">
            <v>31002</v>
          </cell>
          <cell r="B2099" t="str">
            <v>Moyen</v>
          </cell>
          <cell r="D2099" t="str">
            <v>*</v>
          </cell>
          <cell r="F2099">
            <v>1</v>
          </cell>
          <cell r="G2099">
            <v>0</v>
          </cell>
          <cell r="H2099">
            <v>0</v>
          </cell>
        </row>
        <row r="2100">
          <cell r="A2100">
            <v>31003</v>
          </cell>
          <cell r="B2100" t="str">
            <v>Moyen</v>
          </cell>
          <cell r="D2100" t="str">
            <v>*</v>
          </cell>
          <cell r="F2100">
            <v>1</v>
          </cell>
          <cell r="G2100">
            <v>0</v>
          </cell>
          <cell r="H2100">
            <v>0</v>
          </cell>
        </row>
        <row r="2101">
          <cell r="A2101">
            <v>31010</v>
          </cell>
          <cell r="B2101" t="str">
            <v>Moyen</v>
          </cell>
          <cell r="D2101" t="str">
            <v>*</v>
          </cell>
          <cell r="F2101">
            <v>1</v>
          </cell>
          <cell r="G2101">
            <v>0</v>
          </cell>
          <cell r="H2101">
            <v>0</v>
          </cell>
        </row>
        <row r="2102">
          <cell r="A2102">
            <v>31011</v>
          </cell>
          <cell r="B2102" t="str">
            <v>Moyen</v>
          </cell>
          <cell r="D2102" t="str">
            <v>*</v>
          </cell>
          <cell r="F2102">
            <v>1</v>
          </cell>
          <cell r="G2102">
            <v>0</v>
          </cell>
          <cell r="H2102">
            <v>171468.90380913901</v>
          </cell>
        </row>
        <row r="2103">
          <cell r="A2103">
            <v>31012</v>
          </cell>
          <cell r="B2103" t="str">
            <v>Moyen</v>
          </cell>
          <cell r="D2103" t="str">
            <v>*</v>
          </cell>
          <cell r="F2103">
            <v>1</v>
          </cell>
          <cell r="G2103">
            <v>0</v>
          </cell>
          <cell r="H2103">
            <v>195705</v>
          </cell>
        </row>
        <row r="2104">
          <cell r="A2104">
            <v>31013</v>
          </cell>
          <cell r="B2104" t="str">
            <v>Moyen</v>
          </cell>
          <cell r="D2104" t="str">
            <v>*</v>
          </cell>
          <cell r="F2104">
            <v>1</v>
          </cell>
          <cell r="G2104">
            <v>0</v>
          </cell>
          <cell r="H2104">
            <v>304826.19952272699</v>
          </cell>
        </row>
        <row r="2105">
          <cell r="A2105">
            <v>31014</v>
          </cell>
          <cell r="B2105" t="str">
            <v>Moyen</v>
          </cell>
          <cell r="D2105" t="str">
            <v>*</v>
          </cell>
          <cell r="F2105">
            <v>1</v>
          </cell>
          <cell r="G2105">
            <v>0</v>
          </cell>
          <cell r="H2105">
            <v>0</v>
          </cell>
        </row>
        <row r="2106">
          <cell r="A2106">
            <v>31028</v>
          </cell>
          <cell r="B2106" t="str">
            <v>Moyen</v>
          </cell>
          <cell r="D2106" t="str">
            <v>*</v>
          </cell>
          <cell r="F2106">
            <v>1</v>
          </cell>
          <cell r="G2106">
            <v>0</v>
          </cell>
          <cell r="H2106">
            <v>0</v>
          </cell>
        </row>
        <row r="2107">
          <cell r="A2107">
            <v>31029</v>
          </cell>
          <cell r="B2107" t="str">
            <v>Moyen</v>
          </cell>
          <cell r="D2107" t="str">
            <v>*</v>
          </cell>
          <cell r="F2107">
            <v>1</v>
          </cell>
          <cell r="G2107">
            <v>0</v>
          </cell>
          <cell r="H2107">
            <v>0</v>
          </cell>
        </row>
        <row r="2108">
          <cell r="A2108">
            <v>31030</v>
          </cell>
          <cell r="B2108" t="str">
            <v>Moyen</v>
          </cell>
          <cell r="D2108" t="str">
            <v>*</v>
          </cell>
          <cell r="F2108">
            <v>1</v>
          </cell>
          <cell r="G2108">
            <v>0</v>
          </cell>
          <cell r="H2108">
            <v>0</v>
          </cell>
        </row>
        <row r="2109">
          <cell r="A2109">
            <v>31037</v>
          </cell>
          <cell r="B2109" t="str">
            <v>Moyen</v>
          </cell>
          <cell r="D2109" t="str">
            <v>*</v>
          </cell>
          <cell r="F2109">
            <v>1</v>
          </cell>
          <cell r="G2109">
            <v>0</v>
          </cell>
          <cell r="H2109">
            <v>73556.505647897502</v>
          </cell>
        </row>
        <row r="2110">
          <cell r="A2110">
            <v>31041</v>
          </cell>
          <cell r="B2110" t="str">
            <v>Moyen</v>
          </cell>
          <cell r="D2110" t="str">
            <v>*</v>
          </cell>
          <cell r="F2110">
            <v>1</v>
          </cell>
          <cell r="G2110">
            <v>0</v>
          </cell>
          <cell r="H2110">
            <v>137170.83312896601</v>
          </cell>
        </row>
        <row r="2111">
          <cell r="A2111">
            <v>31044</v>
          </cell>
          <cell r="B2111" t="str">
            <v>Moyen</v>
          </cell>
          <cell r="D2111" t="str">
            <v>*</v>
          </cell>
          <cell r="F2111">
            <v>1</v>
          </cell>
          <cell r="G2111">
            <v>0</v>
          </cell>
          <cell r="H2111">
            <v>0</v>
          </cell>
        </row>
        <row r="2112">
          <cell r="A2112">
            <v>31045</v>
          </cell>
          <cell r="B2112" t="str">
            <v>Moyen</v>
          </cell>
          <cell r="D2112" t="str">
            <v>*</v>
          </cell>
          <cell r="F2112">
            <v>1</v>
          </cell>
          <cell r="G2112">
            <v>0</v>
          </cell>
          <cell r="H2112">
            <v>0</v>
          </cell>
        </row>
        <row r="2113">
          <cell r="A2113">
            <v>31046</v>
          </cell>
          <cell r="B2113" t="str">
            <v>Moyen</v>
          </cell>
          <cell r="D2113" t="str">
            <v>*</v>
          </cell>
          <cell r="F2113">
            <v>1</v>
          </cell>
          <cell r="G2113">
            <v>0</v>
          </cell>
          <cell r="H2113">
            <v>0</v>
          </cell>
        </row>
        <row r="2114">
          <cell r="A2114">
            <v>31047</v>
          </cell>
          <cell r="B2114" t="str">
            <v>Moyen</v>
          </cell>
          <cell r="D2114" t="str">
            <v>*</v>
          </cell>
          <cell r="F2114">
            <v>1</v>
          </cell>
          <cell r="G2114">
            <v>0</v>
          </cell>
          <cell r="H2114">
            <v>156121</v>
          </cell>
        </row>
        <row r="2115">
          <cell r="A2115">
            <v>31048</v>
          </cell>
          <cell r="B2115" t="str">
            <v>Moyen</v>
          </cell>
          <cell r="D2115" t="str">
            <v>*</v>
          </cell>
          <cell r="F2115">
            <v>1</v>
          </cell>
          <cell r="G2115">
            <v>0</v>
          </cell>
          <cell r="H2115">
            <v>1284361</v>
          </cell>
        </row>
        <row r="2116">
          <cell r="A2116">
            <v>31051</v>
          </cell>
          <cell r="B2116" t="str">
            <v>Moyen</v>
          </cell>
          <cell r="D2116" t="str">
            <v>*</v>
          </cell>
          <cell r="F2116">
            <v>1</v>
          </cell>
          <cell r="G2116">
            <v>0</v>
          </cell>
          <cell r="H2116">
            <v>25975.897199999999</v>
          </cell>
        </row>
        <row r="2117">
          <cell r="A2117">
            <v>31052</v>
          </cell>
          <cell r="B2117" t="str">
            <v>Moyen</v>
          </cell>
          <cell r="D2117" t="str">
            <v>*</v>
          </cell>
          <cell r="F2117">
            <v>1</v>
          </cell>
          <cell r="G2117">
            <v>0</v>
          </cell>
          <cell r="H2117">
            <v>0</v>
          </cell>
        </row>
        <row r="2118">
          <cell r="A2118">
            <v>31053</v>
          </cell>
          <cell r="B2118" t="str">
            <v>Moyen</v>
          </cell>
          <cell r="D2118" t="str">
            <v>*</v>
          </cell>
          <cell r="F2118">
            <v>1</v>
          </cell>
          <cell r="G2118">
            <v>0</v>
          </cell>
          <cell r="H2118">
            <v>0</v>
          </cell>
        </row>
        <row r="2119">
          <cell r="A2119">
            <v>31054</v>
          </cell>
          <cell r="B2119" t="str">
            <v>Moyen</v>
          </cell>
          <cell r="D2119" t="str">
            <v>*</v>
          </cell>
          <cell r="F2119">
            <v>1</v>
          </cell>
          <cell r="G2119">
            <v>0</v>
          </cell>
          <cell r="H2119">
            <v>4250.6013599999997</v>
          </cell>
        </row>
        <row r="2120">
          <cell r="A2120">
            <v>31055</v>
          </cell>
          <cell r="B2120" t="str">
            <v>Moyen</v>
          </cell>
          <cell r="D2120" t="str">
            <v>*</v>
          </cell>
          <cell r="F2120">
            <v>1</v>
          </cell>
          <cell r="G2120">
            <v>0</v>
          </cell>
          <cell r="H2120">
            <v>0</v>
          </cell>
        </row>
        <row r="2121">
          <cell r="A2121">
            <v>31056</v>
          </cell>
          <cell r="B2121" t="str">
            <v>Moyen</v>
          </cell>
          <cell r="D2121" t="str">
            <v>*</v>
          </cell>
          <cell r="F2121">
            <v>1</v>
          </cell>
          <cell r="G2121">
            <v>0</v>
          </cell>
          <cell r="H2121">
            <v>200000</v>
          </cell>
        </row>
        <row r="2122">
          <cell r="A2122">
            <v>31057</v>
          </cell>
          <cell r="B2122" t="str">
            <v>Moyen</v>
          </cell>
          <cell r="D2122" t="str">
            <v>*</v>
          </cell>
          <cell r="F2122">
            <v>1</v>
          </cell>
          <cell r="G2122">
            <v>0</v>
          </cell>
          <cell r="H2122">
            <v>0</v>
          </cell>
        </row>
        <row r="2123">
          <cell r="A2123">
            <v>31062</v>
          </cell>
          <cell r="B2123" t="str">
            <v>Moyen</v>
          </cell>
          <cell r="D2123" t="str">
            <v>*</v>
          </cell>
          <cell r="F2123">
            <v>1</v>
          </cell>
          <cell r="G2123">
            <v>0</v>
          </cell>
          <cell r="H2123">
            <v>0</v>
          </cell>
        </row>
        <row r="2124">
          <cell r="A2124">
            <v>31063</v>
          </cell>
          <cell r="B2124" t="str">
            <v>Moyen</v>
          </cell>
          <cell r="D2124" t="str">
            <v>*</v>
          </cell>
          <cell r="F2124">
            <v>1</v>
          </cell>
          <cell r="G2124">
            <v>0</v>
          </cell>
          <cell r="H2124">
            <v>0</v>
          </cell>
        </row>
        <row r="2125">
          <cell r="A2125">
            <v>31064</v>
          </cell>
          <cell r="B2125" t="str">
            <v>Moyen</v>
          </cell>
          <cell r="D2125" t="str">
            <v>*</v>
          </cell>
          <cell r="F2125">
            <v>1</v>
          </cell>
          <cell r="G2125">
            <v>0</v>
          </cell>
          <cell r="H2125">
            <v>0</v>
          </cell>
        </row>
        <row r="2126">
          <cell r="A2126">
            <v>31081</v>
          </cell>
          <cell r="B2126" t="str">
            <v>Moyen</v>
          </cell>
          <cell r="D2126" t="str">
            <v>*</v>
          </cell>
          <cell r="F2126">
            <v>1</v>
          </cell>
          <cell r="G2126">
            <v>0</v>
          </cell>
          <cell r="H2126">
            <v>0</v>
          </cell>
        </row>
        <row r="2127">
          <cell r="A2127">
            <v>31082</v>
          </cell>
          <cell r="B2127" t="str">
            <v>Moyen</v>
          </cell>
          <cell r="D2127" t="str">
            <v>*</v>
          </cell>
          <cell r="F2127">
            <v>1</v>
          </cell>
          <cell r="G2127">
            <v>0</v>
          </cell>
          <cell r="H2127">
            <v>0</v>
          </cell>
        </row>
        <row r="2128">
          <cell r="A2128">
            <v>31084</v>
          </cell>
          <cell r="B2128" t="str">
            <v>Moyen</v>
          </cell>
          <cell r="D2128" t="str">
            <v>*</v>
          </cell>
          <cell r="F2128">
            <v>1</v>
          </cell>
          <cell r="G2128">
            <v>0</v>
          </cell>
          <cell r="H2128">
            <v>0</v>
          </cell>
        </row>
        <row r="2129">
          <cell r="A2129">
            <v>31085</v>
          </cell>
          <cell r="B2129" t="str">
            <v>Moyen</v>
          </cell>
          <cell r="D2129" t="str">
            <v>*</v>
          </cell>
          <cell r="F2129">
            <v>1</v>
          </cell>
          <cell r="G2129">
            <v>0</v>
          </cell>
          <cell r="H2129">
            <v>0</v>
          </cell>
        </row>
        <row r="2130">
          <cell r="A2130">
            <v>31086</v>
          </cell>
          <cell r="B2130" t="str">
            <v>Moyen</v>
          </cell>
          <cell r="D2130" t="str">
            <v>*</v>
          </cell>
          <cell r="F2130">
            <v>1</v>
          </cell>
          <cell r="G2130">
            <v>0</v>
          </cell>
          <cell r="H2130">
            <v>0</v>
          </cell>
        </row>
        <row r="2131">
          <cell r="A2131">
            <v>31087</v>
          </cell>
          <cell r="B2131" t="str">
            <v>Moyen</v>
          </cell>
          <cell r="D2131" t="str">
            <v>*</v>
          </cell>
          <cell r="F2131">
            <v>1</v>
          </cell>
          <cell r="G2131">
            <v>0</v>
          </cell>
          <cell r="H2131">
            <v>0</v>
          </cell>
        </row>
        <row r="2132">
          <cell r="A2132">
            <v>31088</v>
          </cell>
          <cell r="B2132" t="str">
            <v>Moyen</v>
          </cell>
          <cell r="D2132" t="str">
            <v>*</v>
          </cell>
          <cell r="F2132">
            <v>1</v>
          </cell>
          <cell r="G2132">
            <v>0</v>
          </cell>
          <cell r="H2132">
            <v>0</v>
          </cell>
        </row>
        <row r="2133">
          <cell r="A2133">
            <v>31089</v>
          </cell>
          <cell r="B2133" t="str">
            <v>Moyen</v>
          </cell>
          <cell r="D2133" t="str">
            <v>*</v>
          </cell>
          <cell r="F2133">
            <v>1</v>
          </cell>
          <cell r="G2133">
            <v>0</v>
          </cell>
          <cell r="H2133">
            <v>0</v>
          </cell>
        </row>
        <row r="2134">
          <cell r="A2134">
            <v>31090</v>
          </cell>
          <cell r="B2134" t="str">
            <v>Moyen</v>
          </cell>
          <cell r="D2134" t="str">
            <v>*</v>
          </cell>
          <cell r="F2134">
            <v>1</v>
          </cell>
          <cell r="G2134">
            <v>0</v>
          </cell>
          <cell r="H2134">
            <v>0</v>
          </cell>
        </row>
        <row r="2135">
          <cell r="A2135">
            <v>31091</v>
          </cell>
          <cell r="B2135" t="str">
            <v>Moyen</v>
          </cell>
          <cell r="D2135" t="str">
            <v>*</v>
          </cell>
          <cell r="F2135">
            <v>1</v>
          </cell>
          <cell r="G2135">
            <v>0</v>
          </cell>
          <cell r="H2135">
            <v>0</v>
          </cell>
        </row>
        <row r="2136">
          <cell r="A2136">
            <v>31096</v>
          </cell>
          <cell r="B2136" t="str">
            <v>Moyen</v>
          </cell>
          <cell r="D2136" t="str">
            <v>*</v>
          </cell>
          <cell r="F2136">
            <v>1</v>
          </cell>
          <cell r="G2136">
            <v>0</v>
          </cell>
          <cell r="H2136">
            <v>0</v>
          </cell>
        </row>
        <row r="2137">
          <cell r="A2137">
            <v>31097</v>
          </cell>
          <cell r="B2137" t="str">
            <v>Moyen</v>
          </cell>
          <cell r="D2137" t="str">
            <v>*</v>
          </cell>
          <cell r="F2137">
            <v>1</v>
          </cell>
          <cell r="G2137">
            <v>0</v>
          </cell>
          <cell r="H2137">
            <v>0</v>
          </cell>
        </row>
        <row r="2138">
          <cell r="A2138">
            <v>31098</v>
          </cell>
          <cell r="B2138" t="str">
            <v>Moyen</v>
          </cell>
          <cell r="D2138" t="str">
            <v>*</v>
          </cell>
          <cell r="F2138">
            <v>1</v>
          </cell>
          <cell r="G2138">
            <v>0</v>
          </cell>
          <cell r="H2138">
            <v>0</v>
          </cell>
        </row>
        <row r="2139">
          <cell r="A2139">
            <v>31099</v>
          </cell>
          <cell r="B2139" t="str">
            <v>Moyen</v>
          </cell>
          <cell r="D2139" t="str">
            <v>*</v>
          </cell>
          <cell r="F2139">
            <v>1</v>
          </cell>
          <cell r="G2139">
            <v>0</v>
          </cell>
          <cell r="H2139">
            <v>0</v>
          </cell>
        </row>
        <row r="2140">
          <cell r="A2140">
            <v>31119</v>
          </cell>
          <cell r="B2140" t="str">
            <v>Moyen</v>
          </cell>
          <cell r="D2140" t="str">
            <v>*</v>
          </cell>
          <cell r="F2140">
            <v>1</v>
          </cell>
          <cell r="G2140">
            <v>0</v>
          </cell>
          <cell r="H2140">
            <v>0</v>
          </cell>
        </row>
        <row r="2141">
          <cell r="A2141">
            <v>31120</v>
          </cell>
          <cell r="B2141" t="str">
            <v>Moyen</v>
          </cell>
          <cell r="D2141" t="str">
            <v>*</v>
          </cell>
          <cell r="F2141">
            <v>1</v>
          </cell>
          <cell r="G2141">
            <v>0</v>
          </cell>
          <cell r="H2141">
            <v>0</v>
          </cell>
        </row>
        <row r="2142">
          <cell r="A2142">
            <v>31121</v>
          </cell>
          <cell r="B2142" t="str">
            <v>Moyen</v>
          </cell>
          <cell r="D2142" t="str">
            <v>*</v>
          </cell>
          <cell r="F2142">
            <v>1</v>
          </cell>
          <cell r="G2142">
            <v>0</v>
          </cell>
          <cell r="H2142">
            <v>0</v>
          </cell>
        </row>
        <row r="2143">
          <cell r="A2143">
            <v>31122</v>
          </cell>
          <cell r="B2143" t="str">
            <v>Moyen</v>
          </cell>
          <cell r="D2143" t="str">
            <v>*</v>
          </cell>
          <cell r="F2143">
            <v>1</v>
          </cell>
          <cell r="G2143">
            <v>0</v>
          </cell>
          <cell r="H2143">
            <v>106285</v>
          </cell>
        </row>
        <row r="2144">
          <cell r="A2144">
            <v>31123</v>
          </cell>
          <cell r="B2144" t="str">
            <v>Moyen</v>
          </cell>
          <cell r="D2144" t="str">
            <v>*</v>
          </cell>
          <cell r="F2144">
            <v>1</v>
          </cell>
          <cell r="G2144">
            <v>0</v>
          </cell>
          <cell r="H2144">
            <v>1594054</v>
          </cell>
        </row>
        <row r="2145">
          <cell r="A2145">
            <v>31124</v>
          </cell>
          <cell r="B2145" t="str">
            <v>Moyen</v>
          </cell>
          <cell r="D2145" t="str">
            <v>*</v>
          </cell>
          <cell r="F2145">
            <v>1</v>
          </cell>
          <cell r="G2145">
            <v>0</v>
          </cell>
          <cell r="H2145">
            <v>0</v>
          </cell>
        </row>
        <row r="2146">
          <cell r="A2146">
            <v>31125</v>
          </cell>
          <cell r="B2146" t="str">
            <v>Moyen</v>
          </cell>
          <cell r="D2146" t="str">
            <v>*</v>
          </cell>
          <cell r="F2146">
            <v>1</v>
          </cell>
          <cell r="G2146">
            <v>0</v>
          </cell>
          <cell r="H2146">
            <v>36500</v>
          </cell>
        </row>
        <row r="2147">
          <cell r="A2147">
            <v>31126</v>
          </cell>
          <cell r="B2147" t="str">
            <v>Moyen</v>
          </cell>
          <cell r="D2147" t="str">
            <v>*</v>
          </cell>
          <cell r="F2147">
            <v>1</v>
          </cell>
          <cell r="G2147">
            <v>0</v>
          </cell>
          <cell r="H2147">
            <v>0</v>
          </cell>
        </row>
        <row r="2148">
          <cell r="A2148">
            <v>31127</v>
          </cell>
          <cell r="B2148" t="str">
            <v>Moyen</v>
          </cell>
          <cell r="D2148" t="str">
            <v>*</v>
          </cell>
          <cell r="F2148">
            <v>1</v>
          </cell>
          <cell r="G2148">
            <v>0</v>
          </cell>
          <cell r="H2148">
            <v>0</v>
          </cell>
        </row>
        <row r="2149">
          <cell r="A2149">
            <v>31128</v>
          </cell>
          <cell r="B2149" t="str">
            <v>Moyen</v>
          </cell>
          <cell r="D2149" t="str">
            <v>*</v>
          </cell>
          <cell r="F2149">
            <v>1</v>
          </cell>
          <cell r="G2149">
            <v>0</v>
          </cell>
          <cell r="H2149">
            <v>0</v>
          </cell>
        </row>
        <row r="2150">
          <cell r="A2150">
            <v>31129</v>
          </cell>
          <cell r="B2150" t="str">
            <v>Moyen</v>
          </cell>
          <cell r="D2150" t="str">
            <v>*</v>
          </cell>
          <cell r="F2150">
            <v>1</v>
          </cell>
          <cell r="G2150">
            <v>0</v>
          </cell>
          <cell r="H2150">
            <v>0</v>
          </cell>
        </row>
        <row r="2151">
          <cell r="A2151">
            <v>31130</v>
          </cell>
          <cell r="B2151" t="str">
            <v>Moyen</v>
          </cell>
          <cell r="D2151" t="str">
            <v>*</v>
          </cell>
          <cell r="F2151">
            <v>1</v>
          </cell>
          <cell r="G2151">
            <v>0</v>
          </cell>
          <cell r="H2151">
            <v>0</v>
          </cell>
        </row>
        <row r="2152">
          <cell r="A2152">
            <v>31131</v>
          </cell>
          <cell r="B2152" t="str">
            <v>Moyen</v>
          </cell>
          <cell r="D2152" t="str">
            <v>*</v>
          </cell>
          <cell r="F2152">
            <v>1</v>
          </cell>
          <cell r="G2152">
            <v>0</v>
          </cell>
          <cell r="H2152">
            <v>0</v>
          </cell>
        </row>
        <row r="2153">
          <cell r="A2153">
            <v>31132</v>
          </cell>
          <cell r="B2153" t="str">
            <v>Moyen</v>
          </cell>
          <cell r="D2153" t="str">
            <v>*</v>
          </cell>
          <cell r="F2153">
            <v>1</v>
          </cell>
          <cell r="G2153">
            <v>0</v>
          </cell>
          <cell r="H2153">
            <v>0</v>
          </cell>
        </row>
        <row r="2154">
          <cell r="A2154">
            <v>31133</v>
          </cell>
          <cell r="B2154" t="str">
            <v>Moyen</v>
          </cell>
          <cell r="D2154" t="str">
            <v>*</v>
          </cell>
          <cell r="F2154">
            <v>1</v>
          </cell>
          <cell r="G2154">
            <v>0</v>
          </cell>
          <cell r="H2154">
            <v>0</v>
          </cell>
        </row>
        <row r="2155">
          <cell r="A2155">
            <v>31134</v>
          </cell>
          <cell r="B2155" t="str">
            <v>Moyen</v>
          </cell>
          <cell r="D2155" t="str">
            <v>*</v>
          </cell>
          <cell r="F2155">
            <v>1</v>
          </cell>
          <cell r="G2155">
            <v>0</v>
          </cell>
          <cell r="H2155">
            <v>0</v>
          </cell>
        </row>
        <row r="2156">
          <cell r="A2156">
            <v>31135</v>
          </cell>
          <cell r="B2156" t="str">
            <v>Moyen</v>
          </cell>
          <cell r="D2156" t="str">
            <v>*</v>
          </cell>
          <cell r="F2156">
            <v>1</v>
          </cell>
          <cell r="G2156">
            <v>0</v>
          </cell>
          <cell r="H2156">
            <v>0</v>
          </cell>
        </row>
        <row r="2157">
          <cell r="A2157">
            <v>31136</v>
          </cell>
          <cell r="B2157" t="str">
            <v>Moyen</v>
          </cell>
          <cell r="D2157" t="str">
            <v>*</v>
          </cell>
          <cell r="F2157">
            <v>1</v>
          </cell>
          <cell r="G2157">
            <v>0</v>
          </cell>
          <cell r="H2157">
            <v>0</v>
          </cell>
        </row>
        <row r="2158">
          <cell r="A2158">
            <v>31137</v>
          </cell>
          <cell r="B2158" t="str">
            <v>Moyen</v>
          </cell>
          <cell r="D2158" t="str">
            <v>*</v>
          </cell>
          <cell r="F2158">
            <v>1</v>
          </cell>
          <cell r="G2158">
            <v>0</v>
          </cell>
          <cell r="H2158">
            <v>0</v>
          </cell>
        </row>
        <row r="2159">
          <cell r="A2159">
            <v>31153</v>
          </cell>
          <cell r="B2159" t="str">
            <v>Moyen</v>
          </cell>
          <cell r="D2159" t="str">
            <v>*</v>
          </cell>
          <cell r="F2159">
            <v>1</v>
          </cell>
          <cell r="G2159">
            <v>0</v>
          </cell>
          <cell r="H2159">
            <v>40145</v>
          </cell>
        </row>
        <row r="2160">
          <cell r="A2160">
            <v>31154</v>
          </cell>
          <cell r="B2160" t="str">
            <v>Moyen</v>
          </cell>
          <cell r="D2160" t="str">
            <v>*</v>
          </cell>
          <cell r="F2160">
            <v>1</v>
          </cell>
          <cell r="G2160">
            <v>0</v>
          </cell>
          <cell r="H2160">
            <v>0</v>
          </cell>
        </row>
        <row r="2161">
          <cell r="A2161">
            <v>31155</v>
          </cell>
          <cell r="B2161" t="str">
            <v>Moyen</v>
          </cell>
          <cell r="D2161" t="str">
            <v>*</v>
          </cell>
          <cell r="F2161">
            <v>1</v>
          </cell>
          <cell r="G2161">
            <v>0</v>
          </cell>
          <cell r="H2161">
            <v>134209</v>
          </cell>
        </row>
        <row r="2162">
          <cell r="A2162">
            <v>31156</v>
          </cell>
          <cell r="B2162" t="str">
            <v>Moyen</v>
          </cell>
          <cell r="D2162" t="str">
            <v>*</v>
          </cell>
          <cell r="F2162">
            <v>1</v>
          </cell>
          <cell r="G2162">
            <v>0</v>
          </cell>
          <cell r="H2162">
            <v>0</v>
          </cell>
        </row>
        <row r="2163">
          <cell r="A2163">
            <v>31157</v>
          </cell>
          <cell r="B2163" t="str">
            <v>Moyen</v>
          </cell>
          <cell r="D2163" t="str">
            <v>*</v>
          </cell>
          <cell r="F2163">
            <v>1</v>
          </cell>
          <cell r="G2163">
            <v>0</v>
          </cell>
          <cell r="H2163">
            <v>0</v>
          </cell>
        </row>
        <row r="2164">
          <cell r="A2164">
            <v>31158</v>
          </cell>
          <cell r="B2164" t="str">
            <v>Moyen</v>
          </cell>
          <cell r="D2164" t="str">
            <v>*</v>
          </cell>
          <cell r="F2164">
            <v>1</v>
          </cell>
          <cell r="G2164">
            <v>0</v>
          </cell>
          <cell r="H2164">
            <v>0</v>
          </cell>
        </row>
        <row r="2165">
          <cell r="A2165">
            <v>31163</v>
          </cell>
          <cell r="B2165" t="str">
            <v>Moyen</v>
          </cell>
          <cell r="D2165" t="str">
            <v>*</v>
          </cell>
          <cell r="F2165">
            <v>1</v>
          </cell>
          <cell r="G2165">
            <v>0</v>
          </cell>
          <cell r="H2165">
            <v>49956.25</v>
          </cell>
        </row>
        <row r="2166">
          <cell r="A2166">
            <v>31164</v>
          </cell>
          <cell r="B2166" t="str">
            <v>Moyen</v>
          </cell>
          <cell r="D2166" t="str">
            <v>*</v>
          </cell>
          <cell r="F2166">
            <v>1</v>
          </cell>
          <cell r="G2166">
            <v>0</v>
          </cell>
          <cell r="H2166">
            <v>33171</v>
          </cell>
        </row>
        <row r="2167">
          <cell r="A2167">
            <v>31165</v>
          </cell>
          <cell r="B2167" t="str">
            <v>Moyen</v>
          </cell>
          <cell r="D2167" t="str">
            <v>*</v>
          </cell>
          <cell r="F2167">
            <v>1</v>
          </cell>
          <cell r="G2167">
            <v>0</v>
          </cell>
          <cell r="H2167">
            <v>1244533.3660349799</v>
          </cell>
        </row>
        <row r="2168">
          <cell r="A2168">
            <v>31166</v>
          </cell>
          <cell r="B2168" t="str">
            <v>Moyen</v>
          </cell>
          <cell r="D2168" t="str">
            <v>*</v>
          </cell>
          <cell r="F2168">
            <v>1</v>
          </cell>
          <cell r="G2168">
            <v>0</v>
          </cell>
          <cell r="H2168">
            <v>593581.22892374999</v>
          </cell>
        </row>
        <row r="2169">
          <cell r="A2169">
            <v>31167</v>
          </cell>
          <cell r="B2169" t="str">
            <v>Moyen</v>
          </cell>
          <cell r="D2169" t="str">
            <v>*</v>
          </cell>
          <cell r="F2169">
            <v>1</v>
          </cell>
          <cell r="G2169">
            <v>0</v>
          </cell>
          <cell r="H2169">
            <v>316827</v>
          </cell>
        </row>
        <row r="2170">
          <cell r="A2170">
            <v>31168</v>
          </cell>
          <cell r="B2170" t="str">
            <v>Moyen</v>
          </cell>
          <cell r="D2170" t="str">
            <v>*</v>
          </cell>
          <cell r="F2170">
            <v>1</v>
          </cell>
          <cell r="G2170">
            <v>0</v>
          </cell>
          <cell r="H2170">
            <v>34635</v>
          </cell>
        </row>
        <row r="2171">
          <cell r="A2171">
            <v>31169</v>
          </cell>
          <cell r="B2171" t="str">
            <v>Moyen</v>
          </cell>
          <cell r="D2171" t="str">
            <v>*</v>
          </cell>
          <cell r="F2171">
            <v>1</v>
          </cell>
          <cell r="G2171">
            <v>0</v>
          </cell>
          <cell r="H2171">
            <v>84855</v>
          </cell>
        </row>
        <row r="2172">
          <cell r="A2172">
            <v>31179</v>
          </cell>
          <cell r="B2172" t="str">
            <v>Moyen</v>
          </cell>
          <cell r="D2172" t="str">
            <v>*</v>
          </cell>
          <cell r="F2172">
            <v>1</v>
          </cell>
          <cell r="G2172">
            <v>0</v>
          </cell>
          <cell r="H2172">
            <v>0</v>
          </cell>
        </row>
        <row r="2173">
          <cell r="A2173">
            <v>31180</v>
          </cell>
          <cell r="B2173" t="str">
            <v>Moyen</v>
          </cell>
          <cell r="D2173" t="str">
            <v>*</v>
          </cell>
          <cell r="F2173">
            <v>1</v>
          </cell>
          <cell r="G2173">
            <v>0</v>
          </cell>
          <cell r="H2173">
            <v>0</v>
          </cell>
        </row>
        <row r="2174">
          <cell r="A2174">
            <v>31181</v>
          </cell>
          <cell r="B2174" t="str">
            <v>Moyen</v>
          </cell>
          <cell r="D2174" t="str">
            <v>*</v>
          </cell>
          <cell r="F2174">
            <v>1</v>
          </cell>
          <cell r="G2174">
            <v>0</v>
          </cell>
          <cell r="H2174">
            <v>0</v>
          </cell>
        </row>
        <row r="2175">
          <cell r="A2175">
            <v>31185</v>
          </cell>
          <cell r="B2175" t="str">
            <v>Moyen</v>
          </cell>
          <cell r="D2175" t="str">
            <v>*</v>
          </cell>
          <cell r="F2175">
            <v>1</v>
          </cell>
          <cell r="G2175">
            <v>0</v>
          </cell>
          <cell r="H2175">
            <v>0</v>
          </cell>
        </row>
        <row r="2176">
          <cell r="A2176">
            <v>31214</v>
          </cell>
          <cell r="B2176" t="str">
            <v>Moyen</v>
          </cell>
          <cell r="D2176" t="str">
            <v>*</v>
          </cell>
          <cell r="F2176">
            <v>1</v>
          </cell>
          <cell r="G2176">
            <v>0</v>
          </cell>
          <cell r="H2176">
            <v>0</v>
          </cell>
        </row>
        <row r="2177">
          <cell r="A2177">
            <v>31215</v>
          </cell>
          <cell r="B2177" t="str">
            <v>Moyen</v>
          </cell>
          <cell r="D2177" t="str">
            <v>*</v>
          </cell>
          <cell r="F2177">
            <v>1</v>
          </cell>
          <cell r="G2177">
            <v>0</v>
          </cell>
          <cell r="H2177">
            <v>0</v>
          </cell>
        </row>
        <row r="2178">
          <cell r="A2178">
            <v>31216</v>
          </cell>
          <cell r="B2178" t="str">
            <v>Moyen</v>
          </cell>
          <cell r="D2178" t="str">
            <v>*</v>
          </cell>
          <cell r="F2178">
            <v>1</v>
          </cell>
          <cell r="G2178">
            <v>0</v>
          </cell>
          <cell r="H2178">
            <v>0</v>
          </cell>
        </row>
        <row r="2179">
          <cell r="A2179">
            <v>31217</v>
          </cell>
          <cell r="B2179" t="str">
            <v>Moyen</v>
          </cell>
          <cell r="D2179" t="str">
            <v>*</v>
          </cell>
          <cell r="F2179">
            <v>1</v>
          </cell>
          <cell r="G2179">
            <v>0</v>
          </cell>
          <cell r="H2179">
            <v>0</v>
          </cell>
        </row>
        <row r="2180">
          <cell r="A2180">
            <v>31219</v>
          </cell>
          <cell r="B2180" t="str">
            <v>Moyen</v>
          </cell>
          <cell r="D2180" t="str">
            <v>*</v>
          </cell>
          <cell r="F2180">
            <v>1</v>
          </cell>
          <cell r="G2180">
            <v>0</v>
          </cell>
          <cell r="H2180">
            <v>0</v>
          </cell>
        </row>
        <row r="2181">
          <cell r="A2181">
            <v>31223</v>
          </cell>
          <cell r="B2181" t="str">
            <v>Moyen</v>
          </cell>
          <cell r="D2181" t="str">
            <v>*</v>
          </cell>
          <cell r="F2181">
            <v>1</v>
          </cell>
          <cell r="G2181">
            <v>0</v>
          </cell>
          <cell r="H2181">
            <v>0</v>
          </cell>
        </row>
        <row r="2182">
          <cell r="A2182">
            <v>31224</v>
          </cell>
          <cell r="B2182" t="str">
            <v>Moyen</v>
          </cell>
          <cell r="D2182" t="str">
            <v>*</v>
          </cell>
          <cell r="F2182">
            <v>1</v>
          </cell>
          <cell r="G2182">
            <v>0</v>
          </cell>
          <cell r="H2182">
            <v>0</v>
          </cell>
        </row>
        <row r="2183">
          <cell r="A2183">
            <v>31225</v>
          </cell>
          <cell r="B2183" t="str">
            <v>Moyen</v>
          </cell>
          <cell r="D2183" t="str">
            <v>*</v>
          </cell>
          <cell r="F2183">
            <v>1</v>
          </cell>
          <cell r="G2183">
            <v>0</v>
          </cell>
          <cell r="H2183">
            <v>53315.494478947301</v>
          </cell>
        </row>
        <row r="2184">
          <cell r="A2184">
            <v>31231</v>
          </cell>
          <cell r="B2184" t="str">
            <v>Moyen</v>
          </cell>
          <cell r="D2184" t="str">
            <v>*</v>
          </cell>
          <cell r="F2184">
            <v>1</v>
          </cell>
          <cell r="G2184">
            <v>0</v>
          </cell>
          <cell r="H2184">
            <v>0</v>
          </cell>
        </row>
        <row r="2185">
          <cell r="A2185">
            <v>31232</v>
          </cell>
          <cell r="B2185" t="str">
            <v>Moyen</v>
          </cell>
          <cell r="D2185" t="str">
            <v>*</v>
          </cell>
          <cell r="F2185">
            <v>1</v>
          </cell>
          <cell r="G2185">
            <v>0</v>
          </cell>
          <cell r="H2185">
            <v>0</v>
          </cell>
        </row>
        <row r="2186">
          <cell r="A2186">
            <v>31233</v>
          </cell>
          <cell r="B2186" t="str">
            <v>Moyen</v>
          </cell>
          <cell r="D2186" t="str">
            <v>*</v>
          </cell>
          <cell r="F2186">
            <v>1</v>
          </cell>
          <cell r="G2186">
            <v>0</v>
          </cell>
          <cell r="H2186">
            <v>0</v>
          </cell>
        </row>
        <row r="2187">
          <cell r="A2187">
            <v>31234</v>
          </cell>
          <cell r="B2187" t="str">
            <v>Moyen</v>
          </cell>
          <cell r="D2187" t="str">
            <v>*</v>
          </cell>
          <cell r="F2187">
            <v>1</v>
          </cell>
          <cell r="G2187">
            <v>0</v>
          </cell>
          <cell r="H2187">
            <v>0</v>
          </cell>
        </row>
        <row r="2188">
          <cell r="A2188">
            <v>31235</v>
          </cell>
          <cell r="B2188" t="str">
            <v>Moyen</v>
          </cell>
          <cell r="D2188" t="str">
            <v>*</v>
          </cell>
          <cell r="F2188">
            <v>1</v>
          </cell>
          <cell r="G2188">
            <v>0</v>
          </cell>
          <cell r="H2188">
            <v>0</v>
          </cell>
        </row>
        <row r="2189">
          <cell r="A2189">
            <v>31236</v>
          </cell>
          <cell r="B2189" t="str">
            <v>Moyen</v>
          </cell>
          <cell r="D2189" t="str">
            <v>*</v>
          </cell>
          <cell r="F2189">
            <v>1</v>
          </cell>
          <cell r="G2189">
            <v>0</v>
          </cell>
          <cell r="H2189">
            <v>524594</v>
          </cell>
        </row>
        <row r="2190">
          <cell r="A2190">
            <v>31237</v>
          </cell>
          <cell r="B2190" t="str">
            <v>Moyen</v>
          </cell>
          <cell r="D2190" t="str">
            <v>*</v>
          </cell>
          <cell r="F2190">
            <v>1</v>
          </cell>
          <cell r="G2190">
            <v>0</v>
          </cell>
          <cell r="H2190">
            <v>0</v>
          </cell>
        </row>
        <row r="2191">
          <cell r="A2191">
            <v>31238</v>
          </cell>
          <cell r="B2191" t="str">
            <v>Moyen</v>
          </cell>
          <cell r="D2191" t="str">
            <v>*</v>
          </cell>
          <cell r="F2191">
            <v>1</v>
          </cell>
          <cell r="G2191">
            <v>0</v>
          </cell>
          <cell r="H2191">
            <v>0</v>
          </cell>
        </row>
        <row r="2192">
          <cell r="A2192">
            <v>31239</v>
          </cell>
          <cell r="B2192" t="str">
            <v>Moyen</v>
          </cell>
          <cell r="D2192" t="str">
            <v>*</v>
          </cell>
          <cell r="F2192">
            <v>1</v>
          </cell>
          <cell r="G2192">
            <v>0</v>
          </cell>
          <cell r="H2192">
            <v>0</v>
          </cell>
        </row>
        <row r="2193">
          <cell r="A2193">
            <v>31240</v>
          </cell>
          <cell r="B2193" t="str">
            <v>Moyen</v>
          </cell>
          <cell r="D2193" t="str">
            <v>*</v>
          </cell>
          <cell r="F2193">
            <v>1</v>
          </cell>
          <cell r="G2193">
            <v>0</v>
          </cell>
          <cell r="H2193">
            <v>0</v>
          </cell>
        </row>
        <row r="2194">
          <cell r="A2194">
            <v>31241</v>
          </cell>
          <cell r="B2194" t="str">
            <v>Moyen</v>
          </cell>
          <cell r="D2194" t="str">
            <v>*</v>
          </cell>
          <cell r="F2194">
            <v>1</v>
          </cell>
          <cell r="G2194">
            <v>0</v>
          </cell>
          <cell r="H2194">
            <v>400</v>
          </cell>
        </row>
        <row r="2195">
          <cell r="A2195">
            <v>31242</v>
          </cell>
          <cell r="B2195" t="str">
            <v>Moyen</v>
          </cell>
          <cell r="D2195" t="str">
            <v>*</v>
          </cell>
          <cell r="F2195">
            <v>1</v>
          </cell>
          <cell r="G2195">
            <v>0</v>
          </cell>
          <cell r="H2195">
            <v>0</v>
          </cell>
        </row>
        <row r="2196">
          <cell r="A2196">
            <v>31254</v>
          </cell>
          <cell r="B2196" t="str">
            <v>Moyen</v>
          </cell>
          <cell r="D2196" t="str">
            <v>*</v>
          </cell>
          <cell r="F2196">
            <v>1</v>
          </cell>
          <cell r="G2196">
            <v>0</v>
          </cell>
          <cell r="H2196">
            <v>367210.46297609399</v>
          </cell>
        </row>
        <row r="2197">
          <cell r="A2197">
            <v>31255</v>
          </cell>
          <cell r="B2197" t="str">
            <v>Moyen</v>
          </cell>
          <cell r="D2197" t="str">
            <v>*</v>
          </cell>
          <cell r="F2197">
            <v>1</v>
          </cell>
          <cell r="G2197">
            <v>0</v>
          </cell>
          <cell r="H2197">
            <v>0</v>
          </cell>
        </row>
        <row r="2198">
          <cell r="A2198">
            <v>31256</v>
          </cell>
          <cell r="B2198" t="str">
            <v>Moyen</v>
          </cell>
          <cell r="D2198" t="str">
            <v>*</v>
          </cell>
          <cell r="F2198">
            <v>1</v>
          </cell>
          <cell r="G2198">
            <v>0</v>
          </cell>
          <cell r="H2198">
            <v>0</v>
          </cell>
        </row>
        <row r="2199">
          <cell r="A2199">
            <v>31257</v>
          </cell>
          <cell r="B2199" t="str">
            <v>Moyen</v>
          </cell>
          <cell r="D2199" t="str">
            <v>*</v>
          </cell>
          <cell r="F2199">
            <v>1</v>
          </cell>
          <cell r="G2199">
            <v>0</v>
          </cell>
          <cell r="H2199">
            <v>88161</v>
          </cell>
        </row>
        <row r="2200">
          <cell r="A2200">
            <v>31258</v>
          </cell>
          <cell r="B2200" t="str">
            <v>Moyen</v>
          </cell>
          <cell r="D2200" t="str">
            <v>*</v>
          </cell>
          <cell r="F2200">
            <v>1</v>
          </cell>
          <cell r="G2200">
            <v>0</v>
          </cell>
          <cell r="H2200">
            <v>99574.272599999997</v>
          </cell>
        </row>
        <row r="2201">
          <cell r="A2201">
            <v>31259</v>
          </cell>
          <cell r="B2201" t="str">
            <v>Moyen</v>
          </cell>
          <cell r="D2201" t="str">
            <v>*</v>
          </cell>
          <cell r="F2201">
            <v>1</v>
          </cell>
          <cell r="G2201">
            <v>0</v>
          </cell>
          <cell r="H2201">
            <v>137751</v>
          </cell>
        </row>
        <row r="2202">
          <cell r="A2202">
            <v>31260</v>
          </cell>
          <cell r="B2202" t="str">
            <v>Moyen</v>
          </cell>
          <cell r="D2202" t="str">
            <v>*</v>
          </cell>
          <cell r="F2202">
            <v>1</v>
          </cell>
          <cell r="G2202">
            <v>0</v>
          </cell>
          <cell r="H2202">
            <v>179076</v>
          </cell>
        </row>
        <row r="2203">
          <cell r="A2203">
            <v>31268</v>
          </cell>
          <cell r="B2203" t="str">
            <v>Moyen</v>
          </cell>
          <cell r="D2203" t="str">
            <v>*</v>
          </cell>
          <cell r="F2203">
            <v>1</v>
          </cell>
          <cell r="G2203">
            <v>0</v>
          </cell>
          <cell r="H2203">
            <v>0</v>
          </cell>
        </row>
        <row r="2204">
          <cell r="A2204">
            <v>31275</v>
          </cell>
          <cell r="B2204" t="str">
            <v>Moyen</v>
          </cell>
          <cell r="D2204" t="str">
            <v>*</v>
          </cell>
          <cell r="F2204">
            <v>1</v>
          </cell>
          <cell r="G2204">
            <v>0</v>
          </cell>
          <cell r="H2204">
            <v>0</v>
          </cell>
        </row>
        <row r="2205">
          <cell r="A2205">
            <v>31276</v>
          </cell>
          <cell r="B2205" t="str">
            <v>Moyen</v>
          </cell>
          <cell r="D2205" t="str">
            <v>*</v>
          </cell>
          <cell r="F2205">
            <v>1</v>
          </cell>
          <cell r="G2205">
            <v>0</v>
          </cell>
          <cell r="H2205">
            <v>0</v>
          </cell>
        </row>
        <row r="2206">
          <cell r="A2206">
            <v>31278</v>
          </cell>
          <cell r="B2206" t="str">
            <v>Moyen</v>
          </cell>
          <cell r="D2206" t="str">
            <v>*</v>
          </cell>
          <cell r="F2206">
            <v>1</v>
          </cell>
          <cell r="G2206">
            <v>0</v>
          </cell>
          <cell r="H2206">
            <v>200441</v>
          </cell>
        </row>
        <row r="2207">
          <cell r="A2207">
            <v>31279</v>
          </cell>
          <cell r="B2207" t="str">
            <v>Moyen</v>
          </cell>
          <cell r="D2207" t="str">
            <v>*</v>
          </cell>
          <cell r="F2207">
            <v>1</v>
          </cell>
          <cell r="G2207">
            <v>0</v>
          </cell>
          <cell r="H2207">
            <v>170372</v>
          </cell>
        </row>
        <row r="2208">
          <cell r="A2208">
            <v>31280</v>
          </cell>
          <cell r="B2208" t="str">
            <v>Moyen</v>
          </cell>
          <cell r="D2208" t="str">
            <v>*</v>
          </cell>
          <cell r="F2208">
            <v>1</v>
          </cell>
          <cell r="G2208">
            <v>0</v>
          </cell>
          <cell r="H2208">
            <v>10377</v>
          </cell>
        </row>
        <row r="2209">
          <cell r="A2209">
            <v>31281</v>
          </cell>
          <cell r="B2209" t="str">
            <v>Moyen</v>
          </cell>
          <cell r="D2209" t="str">
            <v>*</v>
          </cell>
          <cell r="F2209">
            <v>1</v>
          </cell>
          <cell r="G2209">
            <v>0</v>
          </cell>
          <cell r="H2209">
            <v>103988.12300000001</v>
          </cell>
        </row>
        <row r="2210">
          <cell r="A2210">
            <v>31282</v>
          </cell>
          <cell r="B2210" t="str">
            <v>Moyen</v>
          </cell>
          <cell r="D2210" t="str">
            <v>*</v>
          </cell>
          <cell r="F2210">
            <v>1</v>
          </cell>
          <cell r="G2210">
            <v>0</v>
          </cell>
          <cell r="H2210">
            <v>0</v>
          </cell>
        </row>
        <row r="2211">
          <cell r="A2211">
            <v>31283</v>
          </cell>
          <cell r="B2211" t="str">
            <v>Moyen</v>
          </cell>
          <cell r="D2211" t="str">
            <v>*</v>
          </cell>
          <cell r="F2211">
            <v>1</v>
          </cell>
          <cell r="G2211">
            <v>0</v>
          </cell>
          <cell r="H2211">
            <v>0</v>
          </cell>
        </row>
        <row r="2212">
          <cell r="A2212">
            <v>31284</v>
          </cell>
          <cell r="B2212" t="str">
            <v>Moyen</v>
          </cell>
          <cell r="D2212" t="str">
            <v>*</v>
          </cell>
          <cell r="F2212">
            <v>1</v>
          </cell>
          <cell r="G2212">
            <v>0</v>
          </cell>
          <cell r="H2212">
            <v>0</v>
          </cell>
        </row>
        <row r="2213">
          <cell r="A2213">
            <v>31285</v>
          </cell>
          <cell r="B2213" t="str">
            <v>Moyen</v>
          </cell>
          <cell r="D2213" t="str">
            <v>*</v>
          </cell>
          <cell r="F2213">
            <v>1</v>
          </cell>
          <cell r="G2213">
            <v>0</v>
          </cell>
          <cell r="H2213">
            <v>3341717</v>
          </cell>
        </row>
        <row r="2214">
          <cell r="A2214">
            <v>31286</v>
          </cell>
          <cell r="B2214" t="str">
            <v>Moyen</v>
          </cell>
          <cell r="D2214" t="str">
            <v>*</v>
          </cell>
          <cell r="F2214">
            <v>1</v>
          </cell>
          <cell r="G2214">
            <v>0</v>
          </cell>
          <cell r="H2214">
            <v>127248.72463677201</v>
          </cell>
        </row>
        <row r="2215">
          <cell r="A2215">
            <v>31287</v>
          </cell>
          <cell r="B2215" t="str">
            <v>Moyen</v>
          </cell>
          <cell r="D2215" t="str">
            <v>*</v>
          </cell>
          <cell r="F2215">
            <v>1</v>
          </cell>
          <cell r="G2215">
            <v>0</v>
          </cell>
          <cell r="H2215">
            <v>1524903</v>
          </cell>
        </row>
        <row r="2216">
          <cell r="A2216">
            <v>31288</v>
          </cell>
          <cell r="B2216" t="str">
            <v>Moyen</v>
          </cell>
          <cell r="D2216" t="str">
            <v>*</v>
          </cell>
          <cell r="F2216">
            <v>1</v>
          </cell>
          <cell r="G2216">
            <v>0</v>
          </cell>
          <cell r="H2216">
            <v>205094.237728571</v>
          </cell>
        </row>
        <row r="2217">
          <cell r="A2217">
            <v>31289</v>
          </cell>
          <cell r="B2217" t="str">
            <v>Moyen</v>
          </cell>
          <cell r="D2217" t="str">
            <v>*</v>
          </cell>
          <cell r="F2217">
            <v>1</v>
          </cell>
          <cell r="G2217">
            <v>0</v>
          </cell>
          <cell r="H2217">
            <v>0</v>
          </cell>
        </row>
        <row r="2218">
          <cell r="A2218">
            <v>31290</v>
          </cell>
          <cell r="B2218" t="str">
            <v>Moyen</v>
          </cell>
          <cell r="D2218" t="str">
            <v>*</v>
          </cell>
          <cell r="F2218">
            <v>1</v>
          </cell>
          <cell r="G2218">
            <v>0</v>
          </cell>
          <cell r="H2218">
            <v>71932.538332089505</v>
          </cell>
        </row>
        <row r="2219">
          <cell r="A2219">
            <v>31291</v>
          </cell>
          <cell r="B2219" t="str">
            <v>Moyen</v>
          </cell>
          <cell r="D2219" t="str">
            <v>*</v>
          </cell>
          <cell r="F2219">
            <v>1</v>
          </cell>
          <cell r="G2219">
            <v>0</v>
          </cell>
          <cell r="H2219">
            <v>151050.49817499999</v>
          </cell>
        </row>
        <row r="2220">
          <cell r="A2220">
            <v>31292</v>
          </cell>
          <cell r="B2220" t="str">
            <v>Moyen</v>
          </cell>
          <cell r="D2220" t="str">
            <v>*</v>
          </cell>
          <cell r="F2220">
            <v>1</v>
          </cell>
          <cell r="G2220">
            <v>0</v>
          </cell>
          <cell r="H2220">
            <v>61564.174758677502</v>
          </cell>
        </row>
        <row r="2221">
          <cell r="A2221">
            <v>31293</v>
          </cell>
          <cell r="B2221" t="str">
            <v>Moyen</v>
          </cell>
          <cell r="D2221" t="str">
            <v>*</v>
          </cell>
          <cell r="F2221">
            <v>1</v>
          </cell>
          <cell r="G2221">
            <v>0</v>
          </cell>
          <cell r="H2221">
            <v>93591.558902941106</v>
          </cell>
        </row>
        <row r="2222">
          <cell r="A2222">
            <v>31294</v>
          </cell>
          <cell r="B2222" t="str">
            <v>Moyen</v>
          </cell>
          <cell r="D2222" t="str">
            <v>*</v>
          </cell>
          <cell r="F2222">
            <v>1</v>
          </cell>
          <cell r="G2222">
            <v>0</v>
          </cell>
          <cell r="H2222">
            <v>50279.104050000002</v>
          </cell>
        </row>
        <row r="2223">
          <cell r="A2223">
            <v>31295</v>
          </cell>
          <cell r="B2223" t="str">
            <v>Moyen</v>
          </cell>
          <cell r="D2223" t="str">
            <v>*</v>
          </cell>
          <cell r="F2223">
            <v>1</v>
          </cell>
          <cell r="G2223">
            <v>0</v>
          </cell>
          <cell r="H2223">
            <v>0</v>
          </cell>
        </row>
        <row r="2224">
          <cell r="A2224">
            <v>31296</v>
          </cell>
          <cell r="B2224" t="str">
            <v>Moyen</v>
          </cell>
          <cell r="D2224" t="str">
            <v>*</v>
          </cell>
          <cell r="F2224">
            <v>1</v>
          </cell>
          <cell r="G2224">
            <v>0</v>
          </cell>
          <cell r="H2224">
            <v>0</v>
          </cell>
        </row>
        <row r="2225">
          <cell r="A2225">
            <v>31297</v>
          </cell>
          <cell r="B2225" t="str">
            <v>Moyen</v>
          </cell>
          <cell r="D2225" t="str">
            <v>*</v>
          </cell>
          <cell r="F2225">
            <v>1</v>
          </cell>
          <cell r="G2225">
            <v>0</v>
          </cell>
          <cell r="H2225">
            <v>0</v>
          </cell>
        </row>
        <row r="2226">
          <cell r="A2226">
            <v>31298</v>
          </cell>
          <cell r="B2226" t="str">
            <v>Moyen</v>
          </cell>
          <cell r="D2226" t="str">
            <v>*</v>
          </cell>
          <cell r="F2226">
            <v>1</v>
          </cell>
          <cell r="G2226">
            <v>0</v>
          </cell>
          <cell r="H2226">
            <v>0</v>
          </cell>
        </row>
        <row r="2227">
          <cell r="A2227">
            <v>31299</v>
          </cell>
          <cell r="B2227" t="str">
            <v>Moyen</v>
          </cell>
          <cell r="D2227" t="str">
            <v>*</v>
          </cell>
          <cell r="F2227">
            <v>1</v>
          </cell>
          <cell r="G2227">
            <v>0</v>
          </cell>
          <cell r="H2227">
            <v>213330.33554</v>
          </cell>
        </row>
        <row r="2228">
          <cell r="A2228">
            <v>31300</v>
          </cell>
          <cell r="B2228" t="str">
            <v>Moyen</v>
          </cell>
          <cell r="D2228" t="str">
            <v>*</v>
          </cell>
          <cell r="F2228">
            <v>1</v>
          </cell>
          <cell r="G2228">
            <v>0</v>
          </cell>
          <cell r="H2228">
            <v>24405.973446666601</v>
          </cell>
        </row>
        <row r="2229">
          <cell r="A2229">
            <v>31301</v>
          </cell>
          <cell r="B2229" t="str">
            <v>Moyen</v>
          </cell>
          <cell r="D2229" t="str">
            <v>*</v>
          </cell>
          <cell r="F2229">
            <v>1</v>
          </cell>
          <cell r="G2229">
            <v>0</v>
          </cell>
          <cell r="H2229">
            <v>97914.701390000002</v>
          </cell>
        </row>
        <row r="2230">
          <cell r="A2230">
            <v>31302</v>
          </cell>
          <cell r="B2230" t="str">
            <v>Moyen</v>
          </cell>
          <cell r="D2230" t="str">
            <v>*</v>
          </cell>
          <cell r="F2230">
            <v>1</v>
          </cell>
          <cell r="G2230">
            <v>0</v>
          </cell>
          <cell r="H2230">
            <v>0</v>
          </cell>
        </row>
        <row r="2231">
          <cell r="A2231">
            <v>31303</v>
          </cell>
          <cell r="B2231" t="str">
            <v>Moyen</v>
          </cell>
          <cell r="D2231" t="str">
            <v>*</v>
          </cell>
          <cell r="F2231">
            <v>1</v>
          </cell>
          <cell r="G2231">
            <v>0</v>
          </cell>
          <cell r="H2231">
            <v>68855.127713793103</v>
          </cell>
        </row>
        <row r="2232">
          <cell r="A2232">
            <v>31304</v>
          </cell>
          <cell r="B2232" t="str">
            <v>Moyen</v>
          </cell>
          <cell r="D2232" t="str">
            <v>*</v>
          </cell>
          <cell r="F2232">
            <v>1</v>
          </cell>
          <cell r="G2232">
            <v>0</v>
          </cell>
          <cell r="H2232">
            <v>0</v>
          </cell>
        </row>
        <row r="2233">
          <cell r="A2233">
            <v>31305</v>
          </cell>
          <cell r="B2233" t="str">
            <v>Moyen</v>
          </cell>
          <cell r="D2233" t="str">
            <v>*</v>
          </cell>
          <cell r="F2233">
            <v>1</v>
          </cell>
          <cell r="G2233">
            <v>0</v>
          </cell>
          <cell r="H2233">
            <v>819946.25</v>
          </cell>
        </row>
        <row r="2234">
          <cell r="A2234">
            <v>31306</v>
          </cell>
          <cell r="B2234" t="str">
            <v>Moyen</v>
          </cell>
          <cell r="D2234" t="str">
            <v>*</v>
          </cell>
          <cell r="F2234">
            <v>1</v>
          </cell>
          <cell r="G2234">
            <v>0</v>
          </cell>
          <cell r="H2234">
            <v>0</v>
          </cell>
        </row>
        <row r="2235">
          <cell r="A2235">
            <v>31307</v>
          </cell>
          <cell r="B2235" t="str">
            <v>Moyen</v>
          </cell>
          <cell r="D2235" t="str">
            <v>*</v>
          </cell>
          <cell r="F2235">
            <v>1</v>
          </cell>
          <cell r="G2235">
            <v>0</v>
          </cell>
          <cell r="H2235">
            <v>7535.3012398928504</v>
          </cell>
        </row>
        <row r="2236">
          <cell r="A2236">
            <v>31308</v>
          </cell>
          <cell r="B2236" t="str">
            <v>Moyen</v>
          </cell>
          <cell r="D2236" t="str">
            <v>*</v>
          </cell>
          <cell r="F2236">
            <v>1</v>
          </cell>
          <cell r="G2236">
            <v>0</v>
          </cell>
          <cell r="H2236">
            <v>1878.1807802548101</v>
          </cell>
        </row>
        <row r="2237">
          <cell r="A2237">
            <v>31309</v>
          </cell>
          <cell r="B2237" t="str">
            <v>Moyen</v>
          </cell>
          <cell r="D2237" t="str">
            <v>*</v>
          </cell>
          <cell r="F2237">
            <v>1</v>
          </cell>
          <cell r="G2237">
            <v>0</v>
          </cell>
          <cell r="H2237">
            <v>1851.44259927797</v>
          </cell>
        </row>
        <row r="2238">
          <cell r="A2238">
            <v>31310</v>
          </cell>
          <cell r="B2238" t="str">
            <v>Moyen</v>
          </cell>
          <cell r="D2238" t="str">
            <v>*</v>
          </cell>
          <cell r="F2238">
            <v>1</v>
          </cell>
          <cell r="G2238">
            <v>0</v>
          </cell>
          <cell r="H2238">
            <v>832.77374967495302</v>
          </cell>
        </row>
        <row r="2239">
          <cell r="A2239">
            <v>31323</v>
          </cell>
          <cell r="B2239" t="str">
            <v>Moyen</v>
          </cell>
          <cell r="D2239" t="str">
            <v>*</v>
          </cell>
          <cell r="F2239">
            <v>1</v>
          </cell>
          <cell r="G2239">
            <v>0</v>
          </cell>
          <cell r="H2239">
            <v>35437.800853333298</v>
          </cell>
        </row>
        <row r="2240">
          <cell r="A2240">
            <v>31324</v>
          </cell>
          <cell r="B2240" t="str">
            <v>Moyen</v>
          </cell>
          <cell r="D2240" t="str">
            <v>*</v>
          </cell>
          <cell r="F2240">
            <v>1</v>
          </cell>
          <cell r="G2240">
            <v>0</v>
          </cell>
          <cell r="H2240">
            <v>0</v>
          </cell>
        </row>
        <row r="2241">
          <cell r="A2241">
            <v>31325</v>
          </cell>
          <cell r="B2241" t="str">
            <v>Moyen</v>
          </cell>
          <cell r="D2241" t="str">
            <v>*</v>
          </cell>
          <cell r="F2241">
            <v>1</v>
          </cell>
          <cell r="G2241">
            <v>0</v>
          </cell>
          <cell r="H2241">
            <v>0</v>
          </cell>
        </row>
        <row r="2242">
          <cell r="A2242">
            <v>31326</v>
          </cell>
          <cell r="B2242" t="str">
            <v>Moyen</v>
          </cell>
          <cell r="D2242" t="str">
            <v>*</v>
          </cell>
          <cell r="F2242">
            <v>1</v>
          </cell>
          <cell r="G2242">
            <v>0</v>
          </cell>
          <cell r="H2242">
            <v>0</v>
          </cell>
        </row>
        <row r="2243">
          <cell r="A2243">
            <v>31327</v>
          </cell>
          <cell r="B2243" t="str">
            <v>Moyen</v>
          </cell>
          <cell r="D2243" t="str">
            <v>*</v>
          </cell>
          <cell r="F2243">
            <v>1</v>
          </cell>
          <cell r="G2243">
            <v>0</v>
          </cell>
          <cell r="H2243">
            <v>0</v>
          </cell>
        </row>
        <row r="2244">
          <cell r="A2244">
            <v>31329</v>
          </cell>
          <cell r="B2244" t="str">
            <v>Moyen</v>
          </cell>
          <cell r="D2244" t="str">
            <v>*</v>
          </cell>
          <cell r="F2244">
            <v>1</v>
          </cell>
          <cell r="G2244">
            <v>0</v>
          </cell>
          <cell r="H2244">
            <v>0</v>
          </cell>
        </row>
        <row r="2245">
          <cell r="A2245">
            <v>31330</v>
          </cell>
          <cell r="B2245" t="str">
            <v>Moyen</v>
          </cell>
          <cell r="D2245" t="str">
            <v>*</v>
          </cell>
          <cell r="F2245">
            <v>1</v>
          </cell>
          <cell r="G2245">
            <v>0</v>
          </cell>
          <cell r="H2245">
            <v>0</v>
          </cell>
        </row>
        <row r="2246">
          <cell r="A2246">
            <v>31331</v>
          </cell>
          <cell r="B2246" t="str">
            <v>Moyen</v>
          </cell>
          <cell r="D2246" t="str">
            <v>*</v>
          </cell>
          <cell r="F2246">
            <v>1</v>
          </cell>
          <cell r="G2246">
            <v>0</v>
          </cell>
          <cell r="H2246">
            <v>11281.9945668778</v>
          </cell>
        </row>
        <row r="2247">
          <cell r="A2247">
            <v>31335</v>
          </cell>
          <cell r="B2247" t="str">
            <v>Moyen</v>
          </cell>
          <cell r="D2247" t="str">
            <v>*</v>
          </cell>
          <cell r="F2247">
            <v>1</v>
          </cell>
          <cell r="G2247">
            <v>0</v>
          </cell>
          <cell r="H2247">
            <v>1300</v>
          </cell>
        </row>
        <row r="2248">
          <cell r="A2248">
            <v>31337</v>
          </cell>
          <cell r="B2248" t="str">
            <v>Moyen</v>
          </cell>
          <cell r="D2248" t="str">
            <v>*</v>
          </cell>
          <cell r="F2248">
            <v>1</v>
          </cell>
          <cell r="G2248">
            <v>0</v>
          </cell>
          <cell r="H2248">
            <v>0</v>
          </cell>
        </row>
        <row r="2249">
          <cell r="A2249">
            <v>31338</v>
          </cell>
          <cell r="B2249" t="str">
            <v>Moyen</v>
          </cell>
          <cell r="D2249" t="str">
            <v>*</v>
          </cell>
          <cell r="F2249">
            <v>1</v>
          </cell>
          <cell r="G2249">
            <v>0</v>
          </cell>
          <cell r="H2249">
            <v>0</v>
          </cell>
        </row>
        <row r="2250">
          <cell r="A2250">
            <v>31339</v>
          </cell>
          <cell r="B2250" t="str">
            <v>Moyen</v>
          </cell>
          <cell r="D2250" t="str">
            <v>*</v>
          </cell>
          <cell r="F2250">
            <v>1</v>
          </cell>
          <cell r="G2250">
            <v>0</v>
          </cell>
          <cell r="H2250">
            <v>0</v>
          </cell>
        </row>
        <row r="2251">
          <cell r="A2251">
            <v>31340</v>
          </cell>
          <cell r="B2251" t="str">
            <v>Moyen</v>
          </cell>
          <cell r="D2251" t="str">
            <v>*</v>
          </cell>
          <cell r="F2251">
            <v>1</v>
          </cell>
          <cell r="G2251">
            <v>0</v>
          </cell>
          <cell r="H2251">
            <v>0</v>
          </cell>
        </row>
        <row r="2252">
          <cell r="A2252">
            <v>31341</v>
          </cell>
          <cell r="B2252" t="str">
            <v>Moyen</v>
          </cell>
          <cell r="D2252" t="str">
            <v>*</v>
          </cell>
          <cell r="F2252">
            <v>1</v>
          </cell>
          <cell r="G2252">
            <v>0</v>
          </cell>
          <cell r="H2252">
            <v>0</v>
          </cell>
        </row>
        <row r="2253">
          <cell r="A2253">
            <v>31413</v>
          </cell>
          <cell r="B2253" t="str">
            <v>Moyen</v>
          </cell>
          <cell r="D2253" t="str">
            <v>*</v>
          </cell>
          <cell r="F2253">
            <v>1</v>
          </cell>
          <cell r="G2253">
            <v>0</v>
          </cell>
          <cell r="H2253">
            <v>0</v>
          </cell>
        </row>
        <row r="2254">
          <cell r="A2254">
            <v>31414</v>
          </cell>
          <cell r="B2254" t="str">
            <v>Moyen</v>
          </cell>
          <cell r="D2254" t="str">
            <v>*</v>
          </cell>
          <cell r="F2254">
            <v>1</v>
          </cell>
          <cell r="G2254">
            <v>0</v>
          </cell>
          <cell r="H2254">
            <v>0</v>
          </cell>
        </row>
        <row r="2255">
          <cell r="A2255">
            <v>31415</v>
          </cell>
          <cell r="B2255" t="str">
            <v>Moyen</v>
          </cell>
          <cell r="D2255" t="str">
            <v>*</v>
          </cell>
          <cell r="F2255">
            <v>1</v>
          </cell>
          <cell r="G2255">
            <v>0</v>
          </cell>
          <cell r="H2255">
            <v>0</v>
          </cell>
        </row>
        <row r="2256">
          <cell r="A2256">
            <v>31416</v>
          </cell>
          <cell r="B2256" t="str">
            <v>Moyen</v>
          </cell>
          <cell r="D2256" t="str">
            <v>*</v>
          </cell>
          <cell r="F2256">
            <v>1</v>
          </cell>
          <cell r="G2256">
            <v>0</v>
          </cell>
          <cell r="H2256">
            <v>0</v>
          </cell>
        </row>
        <row r="2257">
          <cell r="A2257">
            <v>31417</v>
          </cell>
          <cell r="B2257" t="str">
            <v>Moyen</v>
          </cell>
          <cell r="D2257" t="str">
            <v>*</v>
          </cell>
          <cell r="F2257">
            <v>1</v>
          </cell>
          <cell r="G2257">
            <v>0</v>
          </cell>
          <cell r="H2257">
            <v>0</v>
          </cell>
        </row>
        <row r="2258">
          <cell r="A2258">
            <v>31429</v>
          </cell>
          <cell r="B2258" t="str">
            <v>Moyen</v>
          </cell>
          <cell r="D2258" t="str">
            <v>*</v>
          </cell>
          <cell r="F2258">
            <v>1</v>
          </cell>
          <cell r="G2258">
            <v>0</v>
          </cell>
          <cell r="H2258">
            <v>1114602</v>
          </cell>
        </row>
        <row r="2259">
          <cell r="A2259">
            <v>31435</v>
          </cell>
          <cell r="B2259" t="str">
            <v>Moyen</v>
          </cell>
          <cell r="D2259" t="str">
            <v>*</v>
          </cell>
          <cell r="F2259">
            <v>1</v>
          </cell>
          <cell r="G2259">
            <v>0</v>
          </cell>
          <cell r="H2259">
            <v>0</v>
          </cell>
        </row>
        <row r="2260">
          <cell r="A2260">
            <v>31515</v>
          </cell>
          <cell r="B2260" t="str">
            <v>Moyen</v>
          </cell>
          <cell r="D2260" t="str">
            <v>*</v>
          </cell>
          <cell r="F2260">
            <v>1</v>
          </cell>
          <cell r="G2260">
            <v>0</v>
          </cell>
          <cell r="H2260">
            <v>0</v>
          </cell>
        </row>
        <row r="2261">
          <cell r="A2261">
            <v>31517</v>
          </cell>
          <cell r="B2261" t="str">
            <v>Moyen</v>
          </cell>
          <cell r="D2261" t="str">
            <v>*</v>
          </cell>
          <cell r="F2261">
            <v>1</v>
          </cell>
          <cell r="G2261">
            <v>0</v>
          </cell>
          <cell r="H2261">
            <v>141031</v>
          </cell>
        </row>
        <row r="2262">
          <cell r="A2262">
            <v>31518</v>
          </cell>
          <cell r="B2262" t="str">
            <v>Moyen</v>
          </cell>
          <cell r="D2262" t="str">
            <v>*</v>
          </cell>
          <cell r="F2262">
            <v>1</v>
          </cell>
          <cell r="G2262">
            <v>0</v>
          </cell>
          <cell r="H2262">
            <v>65989</v>
          </cell>
        </row>
        <row r="2263">
          <cell r="A2263">
            <v>31519</v>
          </cell>
          <cell r="B2263" t="str">
            <v>Moyen</v>
          </cell>
          <cell r="D2263" t="str">
            <v>*</v>
          </cell>
          <cell r="F2263">
            <v>1</v>
          </cell>
          <cell r="G2263">
            <v>0</v>
          </cell>
          <cell r="H2263">
            <v>1000</v>
          </cell>
        </row>
        <row r="2264">
          <cell r="A2264">
            <v>31520</v>
          </cell>
          <cell r="B2264" t="str">
            <v>Moyen</v>
          </cell>
          <cell r="D2264" t="str">
            <v>*</v>
          </cell>
          <cell r="F2264">
            <v>1</v>
          </cell>
          <cell r="G2264">
            <v>0</v>
          </cell>
          <cell r="H2264">
            <v>0</v>
          </cell>
        </row>
        <row r="2265">
          <cell r="A2265">
            <v>31521</v>
          </cell>
          <cell r="B2265" t="str">
            <v>Moyen</v>
          </cell>
          <cell r="D2265" t="str">
            <v>*</v>
          </cell>
          <cell r="F2265">
            <v>1</v>
          </cell>
          <cell r="G2265">
            <v>0</v>
          </cell>
          <cell r="H2265">
            <v>0</v>
          </cell>
        </row>
        <row r="2266">
          <cell r="A2266">
            <v>31522</v>
          </cell>
          <cell r="B2266" t="str">
            <v>Moyen</v>
          </cell>
          <cell r="D2266" t="str">
            <v>*</v>
          </cell>
          <cell r="F2266">
            <v>1</v>
          </cell>
          <cell r="G2266">
            <v>0</v>
          </cell>
          <cell r="H2266">
            <v>0</v>
          </cell>
        </row>
        <row r="2267">
          <cell r="A2267">
            <v>31529</v>
          </cell>
          <cell r="B2267" t="str">
            <v>Moyen</v>
          </cell>
          <cell r="D2267" t="str">
            <v>*</v>
          </cell>
          <cell r="F2267">
            <v>1</v>
          </cell>
          <cell r="G2267">
            <v>0</v>
          </cell>
          <cell r="H2267">
            <v>300</v>
          </cell>
        </row>
        <row r="2268">
          <cell r="A2268">
            <v>31530</v>
          </cell>
          <cell r="B2268" t="str">
            <v>Moyen</v>
          </cell>
          <cell r="D2268" t="str">
            <v>*</v>
          </cell>
          <cell r="F2268">
            <v>1</v>
          </cell>
          <cell r="G2268">
            <v>0</v>
          </cell>
          <cell r="H2268">
            <v>0</v>
          </cell>
        </row>
        <row r="2269">
          <cell r="A2269">
            <v>31531</v>
          </cell>
          <cell r="B2269" t="str">
            <v>Moyen</v>
          </cell>
          <cell r="D2269" t="str">
            <v>*</v>
          </cell>
          <cell r="F2269">
            <v>1</v>
          </cell>
          <cell r="G2269">
            <v>0</v>
          </cell>
          <cell r="H2269">
            <v>18917.799879999999</v>
          </cell>
        </row>
        <row r="2270">
          <cell r="A2270">
            <v>31532</v>
          </cell>
          <cell r="B2270" t="str">
            <v>Moyen</v>
          </cell>
          <cell r="D2270" t="str">
            <v>*</v>
          </cell>
          <cell r="F2270">
            <v>1</v>
          </cell>
          <cell r="G2270">
            <v>0</v>
          </cell>
          <cell r="H2270">
            <v>0</v>
          </cell>
        </row>
        <row r="2271">
          <cell r="A2271">
            <v>31535</v>
          </cell>
          <cell r="B2271" t="str">
            <v>Moyen</v>
          </cell>
          <cell r="D2271" t="str">
            <v>*</v>
          </cell>
          <cell r="F2271">
            <v>1</v>
          </cell>
          <cell r="G2271">
            <v>0</v>
          </cell>
          <cell r="H2271">
            <v>655.95699999999999</v>
          </cell>
        </row>
        <row r="2272">
          <cell r="A2272">
            <v>31536</v>
          </cell>
          <cell r="B2272" t="str">
            <v>Moyen</v>
          </cell>
          <cell r="D2272" t="str">
            <v>*</v>
          </cell>
          <cell r="F2272">
            <v>1</v>
          </cell>
          <cell r="G2272">
            <v>0</v>
          </cell>
          <cell r="H2272">
            <v>25044</v>
          </cell>
        </row>
        <row r="2273">
          <cell r="A2273">
            <v>31537</v>
          </cell>
          <cell r="B2273" t="str">
            <v>Moyen</v>
          </cell>
          <cell r="D2273" t="str">
            <v>*</v>
          </cell>
          <cell r="F2273">
            <v>1</v>
          </cell>
          <cell r="G2273">
            <v>0</v>
          </cell>
          <cell r="H2273">
            <v>0</v>
          </cell>
        </row>
        <row r="2274">
          <cell r="A2274">
            <v>31538</v>
          </cell>
          <cell r="B2274" t="str">
            <v>Moyen</v>
          </cell>
          <cell r="D2274" t="str">
            <v>*</v>
          </cell>
          <cell r="F2274">
            <v>1</v>
          </cell>
          <cell r="G2274">
            <v>0</v>
          </cell>
          <cell r="H2274">
            <v>0</v>
          </cell>
        </row>
        <row r="2275">
          <cell r="A2275">
            <v>31539</v>
          </cell>
          <cell r="B2275" t="str">
            <v>Moyen</v>
          </cell>
          <cell r="D2275" t="str">
            <v>*</v>
          </cell>
          <cell r="F2275">
            <v>1</v>
          </cell>
          <cell r="G2275">
            <v>0</v>
          </cell>
          <cell r="H2275">
            <v>0</v>
          </cell>
        </row>
        <row r="2276">
          <cell r="A2276">
            <v>31544</v>
          </cell>
          <cell r="B2276" t="str">
            <v>Moyen</v>
          </cell>
          <cell r="D2276" t="str">
            <v>*</v>
          </cell>
          <cell r="F2276">
            <v>1</v>
          </cell>
          <cell r="G2276">
            <v>0</v>
          </cell>
          <cell r="H2276">
            <v>1705</v>
          </cell>
        </row>
        <row r="2277">
          <cell r="A2277">
            <v>31545</v>
          </cell>
          <cell r="B2277" t="str">
            <v>Moyen</v>
          </cell>
          <cell r="D2277" t="str">
            <v>*</v>
          </cell>
          <cell r="F2277">
            <v>1</v>
          </cell>
          <cell r="G2277">
            <v>0</v>
          </cell>
          <cell r="H2277">
            <v>0</v>
          </cell>
        </row>
        <row r="2278">
          <cell r="A2278">
            <v>31548</v>
          </cell>
          <cell r="B2278" t="str">
            <v>Moyen</v>
          </cell>
          <cell r="D2278" t="str">
            <v>*</v>
          </cell>
          <cell r="F2278">
            <v>1</v>
          </cell>
          <cell r="G2278">
            <v>0</v>
          </cell>
          <cell r="H2278">
            <v>9774</v>
          </cell>
        </row>
        <row r="2279">
          <cell r="A2279">
            <v>31549</v>
          </cell>
          <cell r="B2279" t="str">
            <v>Moyen</v>
          </cell>
          <cell r="D2279" t="str">
            <v>*</v>
          </cell>
          <cell r="F2279">
            <v>1</v>
          </cell>
          <cell r="G2279">
            <v>0</v>
          </cell>
          <cell r="H2279">
            <v>258053.41216000001</v>
          </cell>
        </row>
        <row r="2280">
          <cell r="A2280">
            <v>31550</v>
          </cell>
          <cell r="B2280" t="str">
            <v>Moyen</v>
          </cell>
          <cell r="D2280" t="str">
            <v>*</v>
          </cell>
          <cell r="F2280">
            <v>1</v>
          </cell>
          <cell r="G2280">
            <v>0</v>
          </cell>
          <cell r="H2280">
            <v>0</v>
          </cell>
        </row>
        <row r="2281">
          <cell r="A2281">
            <v>31551</v>
          </cell>
          <cell r="B2281" t="str">
            <v>Moyen</v>
          </cell>
          <cell r="D2281" t="str">
            <v>*</v>
          </cell>
          <cell r="F2281">
            <v>1</v>
          </cell>
          <cell r="G2281">
            <v>0</v>
          </cell>
          <cell r="H2281">
            <v>0</v>
          </cell>
        </row>
        <row r="2282">
          <cell r="A2282">
            <v>31552</v>
          </cell>
          <cell r="B2282" t="str">
            <v>Moyen</v>
          </cell>
          <cell r="D2282" t="str">
            <v>*</v>
          </cell>
          <cell r="F2282">
            <v>1</v>
          </cell>
          <cell r="G2282">
            <v>0</v>
          </cell>
          <cell r="H2282">
            <v>41174.027886368502</v>
          </cell>
        </row>
        <row r="2283">
          <cell r="A2283">
            <v>31553</v>
          </cell>
          <cell r="B2283" t="str">
            <v>Moyen</v>
          </cell>
          <cell r="D2283" t="str">
            <v>*</v>
          </cell>
          <cell r="F2283">
            <v>1</v>
          </cell>
          <cell r="G2283">
            <v>0</v>
          </cell>
          <cell r="H2283">
            <v>31203</v>
          </cell>
        </row>
        <row r="2284">
          <cell r="A2284">
            <v>31554</v>
          </cell>
          <cell r="B2284" t="str">
            <v>Moyen</v>
          </cell>
          <cell r="D2284" t="str">
            <v>*</v>
          </cell>
          <cell r="F2284">
            <v>1</v>
          </cell>
          <cell r="G2284">
            <v>0</v>
          </cell>
          <cell r="H2284">
            <v>0</v>
          </cell>
        </row>
        <row r="2285">
          <cell r="A2285">
            <v>31567</v>
          </cell>
          <cell r="B2285" t="str">
            <v>Moyen</v>
          </cell>
          <cell r="D2285" t="str">
            <v>*</v>
          </cell>
          <cell r="F2285">
            <v>1</v>
          </cell>
          <cell r="G2285">
            <v>0</v>
          </cell>
          <cell r="H2285">
            <v>0</v>
          </cell>
        </row>
        <row r="2286">
          <cell r="A2286">
            <v>31571</v>
          </cell>
          <cell r="B2286" t="str">
            <v>Moyen</v>
          </cell>
          <cell r="D2286" t="str">
            <v>*</v>
          </cell>
          <cell r="F2286">
            <v>1</v>
          </cell>
          <cell r="G2286">
            <v>0</v>
          </cell>
          <cell r="H2286">
            <v>0</v>
          </cell>
        </row>
        <row r="2287">
          <cell r="A2287">
            <v>31572</v>
          </cell>
          <cell r="B2287" t="str">
            <v>Moyen</v>
          </cell>
          <cell r="D2287" t="str">
            <v>*</v>
          </cell>
          <cell r="F2287">
            <v>1</v>
          </cell>
          <cell r="G2287">
            <v>0</v>
          </cell>
          <cell r="H2287">
            <v>5000</v>
          </cell>
        </row>
        <row r="2288">
          <cell r="A2288">
            <v>31576</v>
          </cell>
          <cell r="B2288" t="str">
            <v>Moyen</v>
          </cell>
          <cell r="D2288" t="str">
            <v>*</v>
          </cell>
          <cell r="F2288">
            <v>1</v>
          </cell>
          <cell r="G2288">
            <v>0</v>
          </cell>
          <cell r="H2288">
            <v>0</v>
          </cell>
        </row>
        <row r="2289">
          <cell r="A2289">
            <v>31577</v>
          </cell>
          <cell r="B2289" t="str">
            <v>Moyen</v>
          </cell>
          <cell r="D2289" t="str">
            <v>*</v>
          </cell>
          <cell r="F2289">
            <v>1</v>
          </cell>
          <cell r="G2289">
            <v>0</v>
          </cell>
          <cell r="H2289">
            <v>0</v>
          </cell>
        </row>
        <row r="2290">
          <cell r="A2290">
            <v>31578</v>
          </cell>
          <cell r="B2290" t="str">
            <v>Moyen</v>
          </cell>
          <cell r="D2290" t="str">
            <v>*</v>
          </cell>
          <cell r="F2290">
            <v>1</v>
          </cell>
          <cell r="G2290">
            <v>0</v>
          </cell>
          <cell r="H2290">
            <v>0</v>
          </cell>
        </row>
        <row r="2291">
          <cell r="A2291">
            <v>31579</v>
          </cell>
          <cell r="B2291" t="str">
            <v>Moyen</v>
          </cell>
          <cell r="D2291" t="str">
            <v>*</v>
          </cell>
          <cell r="F2291">
            <v>1</v>
          </cell>
          <cell r="G2291">
            <v>0</v>
          </cell>
          <cell r="H2291">
            <v>0</v>
          </cell>
        </row>
        <row r="2292">
          <cell r="A2292">
            <v>31581</v>
          </cell>
          <cell r="B2292" t="str">
            <v>Moyen</v>
          </cell>
          <cell r="D2292" t="str">
            <v>*</v>
          </cell>
          <cell r="F2292">
            <v>1</v>
          </cell>
          <cell r="G2292">
            <v>0</v>
          </cell>
          <cell r="H2292">
            <v>0</v>
          </cell>
        </row>
        <row r="2293">
          <cell r="A2293">
            <v>31582</v>
          </cell>
          <cell r="B2293" t="str">
            <v>Moyen</v>
          </cell>
          <cell r="D2293" t="str">
            <v>*</v>
          </cell>
          <cell r="F2293">
            <v>1</v>
          </cell>
          <cell r="G2293">
            <v>0</v>
          </cell>
          <cell r="H2293">
            <v>0</v>
          </cell>
        </row>
        <row r="2294">
          <cell r="A2294">
            <v>31583</v>
          </cell>
          <cell r="B2294" t="str">
            <v>Moyen</v>
          </cell>
          <cell r="D2294" t="str">
            <v>*</v>
          </cell>
          <cell r="F2294">
            <v>1</v>
          </cell>
          <cell r="G2294">
            <v>0</v>
          </cell>
          <cell r="H2294">
            <v>0</v>
          </cell>
        </row>
        <row r="2295">
          <cell r="A2295">
            <v>31584</v>
          </cell>
          <cell r="B2295" t="str">
            <v>Moyen</v>
          </cell>
          <cell r="D2295" t="str">
            <v>*</v>
          </cell>
          <cell r="F2295">
            <v>1</v>
          </cell>
          <cell r="G2295">
            <v>0</v>
          </cell>
          <cell r="H2295">
            <v>0</v>
          </cell>
        </row>
        <row r="2296">
          <cell r="A2296">
            <v>31585</v>
          </cell>
          <cell r="B2296" t="str">
            <v>Moyen</v>
          </cell>
          <cell r="D2296" t="str">
            <v>*</v>
          </cell>
          <cell r="F2296">
            <v>1</v>
          </cell>
          <cell r="G2296">
            <v>0</v>
          </cell>
          <cell r="H2296">
            <v>0</v>
          </cell>
        </row>
        <row r="2297">
          <cell r="A2297">
            <v>31586</v>
          </cell>
          <cell r="B2297" t="str">
            <v>Moyen</v>
          </cell>
          <cell r="D2297" t="str">
            <v>*</v>
          </cell>
          <cell r="F2297">
            <v>1</v>
          </cell>
          <cell r="G2297">
            <v>0</v>
          </cell>
          <cell r="H2297">
            <v>0</v>
          </cell>
        </row>
        <row r="2298">
          <cell r="A2298">
            <v>31587</v>
          </cell>
          <cell r="B2298" t="str">
            <v>Moyen</v>
          </cell>
          <cell r="D2298" t="str">
            <v>*</v>
          </cell>
          <cell r="F2298">
            <v>1</v>
          </cell>
          <cell r="G2298">
            <v>0</v>
          </cell>
          <cell r="H2298">
            <v>720896.74300000002</v>
          </cell>
        </row>
        <row r="2299">
          <cell r="A2299">
            <v>31607</v>
          </cell>
          <cell r="B2299" t="str">
            <v>Moyen</v>
          </cell>
          <cell r="D2299" t="str">
            <v>*</v>
          </cell>
          <cell r="F2299">
            <v>1</v>
          </cell>
          <cell r="G2299">
            <v>0</v>
          </cell>
          <cell r="H2299">
            <v>0</v>
          </cell>
        </row>
        <row r="2300">
          <cell r="A2300">
            <v>31611</v>
          </cell>
          <cell r="B2300" t="str">
            <v>Moyen</v>
          </cell>
          <cell r="D2300" t="str">
            <v>*</v>
          </cell>
          <cell r="F2300">
            <v>1</v>
          </cell>
          <cell r="G2300">
            <v>0</v>
          </cell>
          <cell r="H2300">
            <v>279771.65828528802</v>
          </cell>
        </row>
        <row r="2301">
          <cell r="A2301">
            <v>31612</v>
          </cell>
          <cell r="B2301" t="str">
            <v>Moyen</v>
          </cell>
          <cell r="D2301" t="str">
            <v>*</v>
          </cell>
          <cell r="F2301">
            <v>1</v>
          </cell>
          <cell r="G2301">
            <v>0</v>
          </cell>
          <cell r="H2301">
            <v>1124063.2150000001</v>
          </cell>
        </row>
        <row r="2302">
          <cell r="A2302">
            <v>31613</v>
          </cell>
          <cell r="B2302" t="str">
            <v>Moyen</v>
          </cell>
          <cell r="D2302" t="str">
            <v>*</v>
          </cell>
          <cell r="F2302">
            <v>1</v>
          </cell>
          <cell r="G2302">
            <v>0</v>
          </cell>
          <cell r="H2302">
            <v>241819</v>
          </cell>
        </row>
        <row r="2303">
          <cell r="A2303">
            <v>31615</v>
          </cell>
          <cell r="B2303" t="str">
            <v>Moyen</v>
          </cell>
          <cell r="D2303" t="str">
            <v>*</v>
          </cell>
          <cell r="F2303">
            <v>1</v>
          </cell>
          <cell r="G2303">
            <v>0</v>
          </cell>
          <cell r="H2303">
            <v>0</v>
          </cell>
        </row>
        <row r="2304">
          <cell r="A2304">
            <v>31616</v>
          </cell>
          <cell r="B2304" t="str">
            <v>Moyen</v>
          </cell>
          <cell r="D2304" t="str">
            <v>*</v>
          </cell>
          <cell r="F2304">
            <v>1</v>
          </cell>
          <cell r="G2304">
            <v>0</v>
          </cell>
          <cell r="H2304">
            <v>314.20340299999998</v>
          </cell>
        </row>
        <row r="2305">
          <cell r="A2305">
            <v>31617</v>
          </cell>
          <cell r="B2305" t="str">
            <v>Moyen</v>
          </cell>
          <cell r="D2305" t="str">
            <v>*</v>
          </cell>
          <cell r="F2305">
            <v>1</v>
          </cell>
          <cell r="G2305">
            <v>0</v>
          </cell>
          <cell r="H2305">
            <v>0</v>
          </cell>
        </row>
        <row r="2306">
          <cell r="A2306">
            <v>31621</v>
          </cell>
          <cell r="B2306" t="str">
            <v>Moyen</v>
          </cell>
          <cell r="D2306" t="str">
            <v>*</v>
          </cell>
          <cell r="F2306">
            <v>1</v>
          </cell>
          <cell r="G2306">
            <v>0</v>
          </cell>
          <cell r="H2306">
            <v>0</v>
          </cell>
        </row>
        <row r="2307">
          <cell r="A2307">
            <v>31622</v>
          </cell>
          <cell r="B2307" t="str">
            <v>Moyen</v>
          </cell>
          <cell r="D2307" t="str">
            <v>*</v>
          </cell>
          <cell r="F2307">
            <v>1</v>
          </cell>
          <cell r="G2307">
            <v>0</v>
          </cell>
          <cell r="H2307">
            <v>0</v>
          </cell>
        </row>
        <row r="2308">
          <cell r="A2308">
            <v>31623</v>
          </cell>
          <cell r="B2308" t="str">
            <v>Moyen</v>
          </cell>
          <cell r="D2308" t="str">
            <v>*</v>
          </cell>
          <cell r="F2308">
            <v>1</v>
          </cell>
          <cell r="G2308">
            <v>0</v>
          </cell>
          <cell r="H2308">
            <v>0</v>
          </cell>
        </row>
        <row r="2309">
          <cell r="A2309">
            <v>31639</v>
          </cell>
          <cell r="B2309" t="str">
            <v>Moyen</v>
          </cell>
          <cell r="D2309" t="str">
            <v>*</v>
          </cell>
          <cell r="F2309">
            <v>1</v>
          </cell>
          <cell r="G2309">
            <v>0</v>
          </cell>
          <cell r="H2309">
            <v>1500</v>
          </cell>
        </row>
        <row r="2310">
          <cell r="A2310">
            <v>31640</v>
          </cell>
          <cell r="B2310" t="str">
            <v>Moyen</v>
          </cell>
          <cell r="D2310" t="str">
            <v>*</v>
          </cell>
          <cell r="F2310">
            <v>1</v>
          </cell>
          <cell r="G2310">
            <v>0</v>
          </cell>
          <cell r="H2310">
            <v>825</v>
          </cell>
        </row>
        <row r="2311">
          <cell r="A2311">
            <v>31641</v>
          </cell>
          <cell r="B2311" t="str">
            <v>Moyen</v>
          </cell>
          <cell r="D2311" t="str">
            <v>*</v>
          </cell>
          <cell r="F2311">
            <v>1</v>
          </cell>
          <cell r="G2311">
            <v>0</v>
          </cell>
          <cell r="H2311">
            <v>13713</v>
          </cell>
        </row>
        <row r="2312">
          <cell r="A2312">
            <v>31642</v>
          </cell>
          <cell r="B2312" t="str">
            <v>Moyen</v>
          </cell>
          <cell r="D2312" t="str">
            <v>*</v>
          </cell>
          <cell r="F2312">
            <v>1</v>
          </cell>
          <cell r="G2312">
            <v>0</v>
          </cell>
          <cell r="H2312">
            <v>0</v>
          </cell>
        </row>
        <row r="2313">
          <cell r="A2313">
            <v>31643</v>
          </cell>
          <cell r="B2313" t="str">
            <v>Moyen</v>
          </cell>
          <cell r="D2313" t="str">
            <v>*</v>
          </cell>
          <cell r="F2313">
            <v>1</v>
          </cell>
          <cell r="G2313">
            <v>0</v>
          </cell>
          <cell r="H2313">
            <v>509.534302097649</v>
          </cell>
        </row>
        <row r="2314">
          <cell r="A2314">
            <v>31644</v>
          </cell>
          <cell r="B2314" t="str">
            <v>Moyen</v>
          </cell>
          <cell r="D2314" t="str">
            <v>*</v>
          </cell>
          <cell r="F2314">
            <v>1</v>
          </cell>
          <cell r="G2314">
            <v>0</v>
          </cell>
          <cell r="H2314">
            <v>2147.7738444980901</v>
          </cell>
        </row>
        <row r="2315">
          <cell r="A2315">
            <v>31645</v>
          </cell>
          <cell r="B2315" t="str">
            <v>Moyen</v>
          </cell>
          <cell r="D2315" t="str">
            <v>*</v>
          </cell>
          <cell r="F2315">
            <v>1</v>
          </cell>
          <cell r="G2315">
            <v>0</v>
          </cell>
          <cell r="H2315">
            <v>0</v>
          </cell>
        </row>
        <row r="2316">
          <cell r="A2316">
            <v>31646</v>
          </cell>
          <cell r="B2316" t="str">
            <v>Moyen</v>
          </cell>
          <cell r="D2316" t="str">
            <v>*</v>
          </cell>
          <cell r="F2316">
            <v>1</v>
          </cell>
          <cell r="G2316">
            <v>0</v>
          </cell>
          <cell r="H2316">
            <v>0</v>
          </cell>
        </row>
        <row r="2317">
          <cell r="A2317">
            <v>31647</v>
          </cell>
          <cell r="B2317" t="str">
            <v>Moyen</v>
          </cell>
          <cell r="D2317" t="str">
            <v>*</v>
          </cell>
          <cell r="F2317">
            <v>1</v>
          </cell>
          <cell r="G2317">
            <v>0</v>
          </cell>
          <cell r="H2317">
            <v>0</v>
          </cell>
        </row>
        <row r="2318">
          <cell r="A2318">
            <v>31648</v>
          </cell>
          <cell r="B2318" t="str">
            <v>Moyen</v>
          </cell>
          <cell r="D2318" t="str">
            <v>*</v>
          </cell>
          <cell r="F2318">
            <v>1</v>
          </cell>
          <cell r="G2318">
            <v>0</v>
          </cell>
          <cell r="H2318">
            <v>0</v>
          </cell>
        </row>
        <row r="2319">
          <cell r="A2319">
            <v>31649</v>
          </cell>
          <cell r="B2319" t="str">
            <v>Moyen</v>
          </cell>
          <cell r="D2319" t="str">
            <v>*</v>
          </cell>
          <cell r="F2319">
            <v>1</v>
          </cell>
          <cell r="G2319">
            <v>0</v>
          </cell>
          <cell r="H2319">
            <v>329670</v>
          </cell>
        </row>
        <row r="2320">
          <cell r="A2320">
            <v>31650</v>
          </cell>
          <cell r="B2320" t="str">
            <v>Moyen</v>
          </cell>
          <cell r="D2320" t="str">
            <v>*</v>
          </cell>
          <cell r="F2320">
            <v>1</v>
          </cell>
          <cell r="G2320">
            <v>0</v>
          </cell>
          <cell r="H2320">
            <v>0</v>
          </cell>
        </row>
        <row r="2321">
          <cell r="A2321">
            <v>31651</v>
          </cell>
          <cell r="B2321" t="str">
            <v>Moyen</v>
          </cell>
          <cell r="D2321" t="str">
            <v>*</v>
          </cell>
          <cell r="F2321">
            <v>1</v>
          </cell>
          <cell r="G2321">
            <v>0</v>
          </cell>
          <cell r="H2321">
            <v>0</v>
          </cell>
        </row>
        <row r="2322">
          <cell r="A2322">
            <v>31652</v>
          </cell>
          <cell r="B2322" t="str">
            <v>Moyen</v>
          </cell>
          <cell r="D2322" t="str">
            <v>*</v>
          </cell>
          <cell r="F2322">
            <v>1</v>
          </cell>
          <cell r="G2322">
            <v>0</v>
          </cell>
          <cell r="H2322">
            <v>0</v>
          </cell>
        </row>
        <row r="2323">
          <cell r="A2323">
            <v>31653</v>
          </cell>
          <cell r="B2323" t="str">
            <v>Moyen</v>
          </cell>
          <cell r="D2323" t="str">
            <v>*</v>
          </cell>
          <cell r="F2323">
            <v>1</v>
          </cell>
          <cell r="G2323">
            <v>0</v>
          </cell>
          <cell r="H2323">
            <v>0</v>
          </cell>
        </row>
        <row r="2324">
          <cell r="A2324">
            <v>31654</v>
          </cell>
          <cell r="B2324" t="str">
            <v>Moyen</v>
          </cell>
          <cell r="D2324" t="str">
            <v>*</v>
          </cell>
          <cell r="F2324">
            <v>1</v>
          </cell>
          <cell r="G2324">
            <v>0</v>
          </cell>
          <cell r="H2324">
            <v>5169200</v>
          </cell>
        </row>
        <row r="2325">
          <cell r="A2325">
            <v>31655</v>
          </cell>
          <cell r="B2325" t="str">
            <v>Moyen</v>
          </cell>
          <cell r="D2325" t="str">
            <v>*</v>
          </cell>
          <cell r="F2325">
            <v>1</v>
          </cell>
          <cell r="G2325">
            <v>0</v>
          </cell>
          <cell r="H2325">
            <v>0</v>
          </cell>
        </row>
        <row r="2326">
          <cell r="A2326">
            <v>31656</v>
          </cell>
          <cell r="B2326" t="str">
            <v>Moyen</v>
          </cell>
          <cell r="D2326" t="str">
            <v>*</v>
          </cell>
          <cell r="F2326">
            <v>1</v>
          </cell>
          <cell r="G2326">
            <v>0</v>
          </cell>
          <cell r="H2326">
            <v>0</v>
          </cell>
        </row>
        <row r="2327">
          <cell r="A2327">
            <v>31657</v>
          </cell>
          <cell r="B2327" t="str">
            <v>Moyen</v>
          </cell>
          <cell r="D2327" t="str">
            <v>*</v>
          </cell>
          <cell r="F2327">
            <v>1</v>
          </cell>
          <cell r="G2327">
            <v>0</v>
          </cell>
          <cell r="H2327">
            <v>0</v>
          </cell>
        </row>
        <row r="2328">
          <cell r="A2328">
            <v>31658</v>
          </cell>
          <cell r="B2328" t="str">
            <v>Moyen</v>
          </cell>
          <cell r="D2328" t="str">
            <v>*</v>
          </cell>
          <cell r="F2328">
            <v>1</v>
          </cell>
          <cell r="G2328">
            <v>0</v>
          </cell>
          <cell r="H2328">
            <v>0</v>
          </cell>
        </row>
        <row r="2329">
          <cell r="A2329">
            <v>31659</v>
          </cell>
          <cell r="B2329" t="str">
            <v>Moyen</v>
          </cell>
          <cell r="D2329" t="str">
            <v>*</v>
          </cell>
          <cell r="F2329">
            <v>1</v>
          </cell>
          <cell r="G2329">
            <v>0</v>
          </cell>
          <cell r="H2329">
            <v>0</v>
          </cell>
        </row>
        <row r="2330">
          <cell r="A2330">
            <v>31660</v>
          </cell>
          <cell r="B2330" t="str">
            <v>Moyen</v>
          </cell>
          <cell r="D2330" t="str">
            <v>*</v>
          </cell>
          <cell r="F2330">
            <v>1</v>
          </cell>
          <cell r="G2330">
            <v>0</v>
          </cell>
          <cell r="H2330">
            <v>0</v>
          </cell>
        </row>
        <row r="2331">
          <cell r="A2331">
            <v>31661</v>
          </cell>
          <cell r="B2331" t="str">
            <v>Moyen</v>
          </cell>
          <cell r="D2331" t="str">
            <v>*</v>
          </cell>
          <cell r="F2331">
            <v>1</v>
          </cell>
          <cell r="G2331">
            <v>0</v>
          </cell>
          <cell r="H2331">
            <v>0</v>
          </cell>
        </row>
        <row r="2332">
          <cell r="A2332">
            <v>31662</v>
          </cell>
          <cell r="B2332" t="str">
            <v>Moyen</v>
          </cell>
          <cell r="D2332" t="str">
            <v>*</v>
          </cell>
          <cell r="F2332">
            <v>1</v>
          </cell>
          <cell r="G2332">
            <v>0</v>
          </cell>
          <cell r="H2332">
            <v>0</v>
          </cell>
        </row>
        <row r="2333">
          <cell r="A2333">
            <v>31663</v>
          </cell>
          <cell r="B2333" t="str">
            <v>Moyen</v>
          </cell>
          <cell r="D2333" t="str">
            <v>*</v>
          </cell>
          <cell r="F2333">
            <v>1</v>
          </cell>
          <cell r="G2333">
            <v>0</v>
          </cell>
          <cell r="H2333">
            <v>0</v>
          </cell>
        </row>
        <row r="2334">
          <cell r="A2334">
            <v>31664</v>
          </cell>
          <cell r="B2334" t="str">
            <v>Moyen</v>
          </cell>
          <cell r="D2334" t="str">
            <v>*</v>
          </cell>
          <cell r="F2334">
            <v>1</v>
          </cell>
          <cell r="G2334">
            <v>0</v>
          </cell>
          <cell r="H2334">
            <v>128422</v>
          </cell>
        </row>
        <row r="2335">
          <cell r="A2335">
            <v>31665</v>
          </cell>
          <cell r="B2335" t="str">
            <v>Moyen</v>
          </cell>
          <cell r="D2335" t="str">
            <v>*</v>
          </cell>
          <cell r="F2335">
            <v>1</v>
          </cell>
          <cell r="G2335">
            <v>0</v>
          </cell>
          <cell r="H2335">
            <v>307299</v>
          </cell>
        </row>
        <row r="2336">
          <cell r="A2336">
            <v>31666</v>
          </cell>
          <cell r="B2336" t="str">
            <v>Moyen</v>
          </cell>
          <cell r="D2336" t="str">
            <v>*</v>
          </cell>
          <cell r="F2336">
            <v>1</v>
          </cell>
          <cell r="G2336">
            <v>0</v>
          </cell>
          <cell r="H2336">
            <v>149985</v>
          </cell>
        </row>
        <row r="2337">
          <cell r="A2337">
            <v>31667</v>
          </cell>
          <cell r="B2337" t="str">
            <v>Moyen</v>
          </cell>
          <cell r="D2337" t="str">
            <v>*</v>
          </cell>
          <cell r="F2337">
            <v>1</v>
          </cell>
          <cell r="G2337">
            <v>0</v>
          </cell>
          <cell r="H2337">
            <v>0</v>
          </cell>
        </row>
        <row r="2338">
          <cell r="A2338">
            <v>31668</v>
          </cell>
          <cell r="B2338" t="str">
            <v>Moyen</v>
          </cell>
          <cell r="D2338" t="str">
            <v>*</v>
          </cell>
          <cell r="F2338">
            <v>1</v>
          </cell>
          <cell r="G2338">
            <v>0</v>
          </cell>
          <cell r="H2338">
            <v>0</v>
          </cell>
        </row>
        <row r="2339">
          <cell r="A2339">
            <v>31669</v>
          </cell>
          <cell r="B2339" t="str">
            <v>Moyen</v>
          </cell>
          <cell r="D2339" t="str">
            <v>*</v>
          </cell>
          <cell r="F2339">
            <v>1</v>
          </cell>
          <cell r="G2339">
            <v>0</v>
          </cell>
          <cell r="H2339">
            <v>75735</v>
          </cell>
        </row>
        <row r="2340">
          <cell r="A2340">
            <v>31670</v>
          </cell>
          <cell r="B2340" t="str">
            <v>Moyen</v>
          </cell>
          <cell r="D2340" t="str">
            <v>*</v>
          </cell>
          <cell r="F2340">
            <v>1</v>
          </cell>
          <cell r="G2340">
            <v>0</v>
          </cell>
          <cell r="H2340">
            <v>392656.947347229</v>
          </cell>
        </row>
        <row r="2341">
          <cell r="A2341">
            <v>31671</v>
          </cell>
          <cell r="B2341" t="str">
            <v>Moyen</v>
          </cell>
          <cell r="D2341" t="str">
            <v>*</v>
          </cell>
          <cell r="F2341">
            <v>1</v>
          </cell>
          <cell r="G2341">
            <v>0</v>
          </cell>
          <cell r="H2341">
            <v>0</v>
          </cell>
        </row>
        <row r="2342">
          <cell r="A2342">
            <v>31672</v>
          </cell>
          <cell r="B2342" t="str">
            <v>Moyen</v>
          </cell>
          <cell r="D2342" t="str">
            <v>*</v>
          </cell>
          <cell r="F2342">
            <v>1</v>
          </cell>
          <cell r="G2342">
            <v>0</v>
          </cell>
          <cell r="H2342">
            <v>0</v>
          </cell>
        </row>
        <row r="2343">
          <cell r="A2343">
            <v>31673</v>
          </cell>
          <cell r="B2343" t="str">
            <v>Moyen</v>
          </cell>
          <cell r="D2343" t="str">
            <v>*</v>
          </cell>
          <cell r="F2343">
            <v>1</v>
          </cell>
          <cell r="G2343">
            <v>0</v>
          </cell>
          <cell r="H2343">
            <v>0</v>
          </cell>
        </row>
        <row r="2344">
          <cell r="A2344">
            <v>31674</v>
          </cell>
          <cell r="B2344" t="str">
            <v>Moyen</v>
          </cell>
          <cell r="D2344" t="str">
            <v>*</v>
          </cell>
          <cell r="F2344">
            <v>1</v>
          </cell>
          <cell r="G2344">
            <v>0</v>
          </cell>
          <cell r="H2344">
            <v>92829.47346234</v>
          </cell>
        </row>
        <row r="2345">
          <cell r="A2345">
            <v>31675</v>
          </cell>
          <cell r="B2345" t="str">
            <v>Moyen</v>
          </cell>
          <cell r="D2345" t="str">
            <v>*</v>
          </cell>
          <cell r="F2345">
            <v>1</v>
          </cell>
          <cell r="G2345">
            <v>0</v>
          </cell>
          <cell r="H2345">
            <v>35162.190121909</v>
          </cell>
        </row>
        <row r="2346">
          <cell r="A2346">
            <v>31679</v>
          </cell>
          <cell r="B2346" t="str">
            <v>Moyen</v>
          </cell>
          <cell r="D2346" t="str">
            <v>*</v>
          </cell>
          <cell r="F2346">
            <v>1</v>
          </cell>
          <cell r="G2346">
            <v>0</v>
          </cell>
          <cell r="H2346">
            <v>499990</v>
          </cell>
        </row>
        <row r="2347">
          <cell r="A2347">
            <v>31680</v>
          </cell>
          <cell r="B2347" t="str">
            <v>Moyen</v>
          </cell>
          <cell r="D2347" t="str">
            <v>*</v>
          </cell>
          <cell r="F2347">
            <v>1</v>
          </cell>
          <cell r="G2347">
            <v>0</v>
          </cell>
          <cell r="H2347">
            <v>1470</v>
          </cell>
        </row>
        <row r="2348">
          <cell r="A2348">
            <v>31682</v>
          </cell>
          <cell r="B2348" t="str">
            <v>Moyen</v>
          </cell>
          <cell r="D2348" t="str">
            <v>*</v>
          </cell>
          <cell r="F2348">
            <v>1</v>
          </cell>
          <cell r="G2348">
            <v>0</v>
          </cell>
          <cell r="H2348">
            <v>0</v>
          </cell>
        </row>
        <row r="2349">
          <cell r="A2349">
            <v>31685</v>
          </cell>
          <cell r="B2349" t="str">
            <v>Moyen</v>
          </cell>
          <cell r="D2349" t="str">
            <v>*</v>
          </cell>
          <cell r="F2349">
            <v>1</v>
          </cell>
          <cell r="G2349">
            <v>0</v>
          </cell>
          <cell r="H2349">
            <v>0</v>
          </cell>
        </row>
        <row r="2350">
          <cell r="A2350">
            <v>31689</v>
          </cell>
          <cell r="B2350" t="str">
            <v>Moyen</v>
          </cell>
          <cell r="D2350" t="str">
            <v>*</v>
          </cell>
          <cell r="F2350">
            <v>1</v>
          </cell>
          <cell r="G2350">
            <v>0</v>
          </cell>
          <cell r="H2350">
            <v>0</v>
          </cell>
        </row>
        <row r="2351">
          <cell r="A2351">
            <v>31690</v>
          </cell>
          <cell r="B2351" t="str">
            <v>Moyen</v>
          </cell>
          <cell r="D2351" t="str">
            <v>*</v>
          </cell>
          <cell r="F2351">
            <v>1</v>
          </cell>
          <cell r="G2351">
            <v>0</v>
          </cell>
          <cell r="H2351">
            <v>0</v>
          </cell>
        </row>
        <row r="2352">
          <cell r="A2352">
            <v>31691</v>
          </cell>
          <cell r="B2352" t="str">
            <v>Moyen</v>
          </cell>
          <cell r="D2352" t="str">
            <v>*</v>
          </cell>
          <cell r="F2352">
            <v>1</v>
          </cell>
          <cell r="G2352">
            <v>0</v>
          </cell>
          <cell r="H2352">
            <v>124631.83</v>
          </cell>
        </row>
        <row r="2353">
          <cell r="A2353">
            <v>31692</v>
          </cell>
          <cell r="B2353" t="str">
            <v>Moyen</v>
          </cell>
          <cell r="D2353" t="str">
            <v>*</v>
          </cell>
          <cell r="F2353">
            <v>1</v>
          </cell>
          <cell r="G2353">
            <v>0</v>
          </cell>
          <cell r="H2353">
            <v>0</v>
          </cell>
        </row>
        <row r="2354">
          <cell r="A2354">
            <v>31693</v>
          </cell>
          <cell r="B2354" t="str">
            <v>Moyen</v>
          </cell>
          <cell r="D2354" t="str">
            <v>*</v>
          </cell>
          <cell r="F2354">
            <v>1</v>
          </cell>
          <cell r="G2354">
            <v>0</v>
          </cell>
          <cell r="H2354">
            <v>0</v>
          </cell>
        </row>
        <row r="2355">
          <cell r="A2355">
            <v>31694</v>
          </cell>
          <cell r="B2355" t="str">
            <v>Moyen</v>
          </cell>
          <cell r="D2355" t="str">
            <v>*</v>
          </cell>
          <cell r="F2355">
            <v>1</v>
          </cell>
          <cell r="G2355">
            <v>0</v>
          </cell>
          <cell r="H2355">
            <v>0</v>
          </cell>
        </row>
        <row r="2356">
          <cell r="A2356">
            <v>31695</v>
          </cell>
          <cell r="B2356" t="str">
            <v>Moyen</v>
          </cell>
          <cell r="D2356" t="str">
            <v>*</v>
          </cell>
          <cell r="F2356">
            <v>1</v>
          </cell>
          <cell r="G2356">
            <v>0</v>
          </cell>
          <cell r="H2356">
            <v>0</v>
          </cell>
        </row>
        <row r="2357">
          <cell r="A2357">
            <v>31696</v>
          </cell>
          <cell r="B2357" t="str">
            <v>Moyen</v>
          </cell>
          <cell r="D2357" t="str">
            <v>*</v>
          </cell>
          <cell r="F2357">
            <v>1</v>
          </cell>
          <cell r="G2357">
            <v>0</v>
          </cell>
          <cell r="H2357">
            <v>24036.451003333299</v>
          </cell>
        </row>
        <row r="2358">
          <cell r="A2358">
            <v>31697</v>
          </cell>
          <cell r="B2358" t="str">
            <v>Moyen</v>
          </cell>
          <cell r="D2358" t="str">
            <v>*</v>
          </cell>
          <cell r="F2358">
            <v>1</v>
          </cell>
          <cell r="G2358">
            <v>0</v>
          </cell>
          <cell r="H2358">
            <v>419653.65728239401</v>
          </cell>
        </row>
        <row r="2359">
          <cell r="A2359">
            <v>31703</v>
          </cell>
          <cell r="B2359" t="str">
            <v>Moyen</v>
          </cell>
          <cell r="D2359" t="str">
            <v>*</v>
          </cell>
          <cell r="F2359">
            <v>1</v>
          </cell>
          <cell r="G2359">
            <v>0</v>
          </cell>
          <cell r="H2359">
            <v>0</v>
          </cell>
        </row>
        <row r="2360">
          <cell r="A2360">
            <v>31704</v>
          </cell>
          <cell r="B2360" t="str">
            <v>Moyen</v>
          </cell>
          <cell r="D2360" t="str">
            <v>*</v>
          </cell>
          <cell r="F2360">
            <v>1</v>
          </cell>
          <cell r="G2360">
            <v>0</v>
          </cell>
          <cell r="H2360">
            <v>0</v>
          </cell>
        </row>
        <row r="2361">
          <cell r="A2361">
            <v>31705</v>
          </cell>
          <cell r="B2361" t="str">
            <v>Moyen</v>
          </cell>
          <cell r="D2361" t="str">
            <v>*</v>
          </cell>
          <cell r="F2361">
            <v>1</v>
          </cell>
          <cell r="G2361">
            <v>0</v>
          </cell>
          <cell r="H2361">
            <v>0</v>
          </cell>
        </row>
        <row r="2362">
          <cell r="A2362">
            <v>31706</v>
          </cell>
          <cell r="B2362" t="str">
            <v>Moyen</v>
          </cell>
          <cell r="D2362" t="str">
            <v>*</v>
          </cell>
          <cell r="F2362">
            <v>1</v>
          </cell>
          <cell r="G2362">
            <v>0</v>
          </cell>
          <cell r="H2362">
            <v>0</v>
          </cell>
        </row>
        <row r="2363">
          <cell r="A2363">
            <v>31707</v>
          </cell>
          <cell r="B2363" t="str">
            <v>Moyen</v>
          </cell>
          <cell r="D2363" t="str">
            <v>*</v>
          </cell>
          <cell r="F2363">
            <v>1</v>
          </cell>
          <cell r="G2363">
            <v>0</v>
          </cell>
          <cell r="H2363">
            <v>0</v>
          </cell>
        </row>
        <row r="2364">
          <cell r="A2364">
            <v>31708</v>
          </cell>
          <cell r="B2364" t="str">
            <v>Moyen</v>
          </cell>
          <cell r="D2364" t="str">
            <v>*</v>
          </cell>
          <cell r="F2364">
            <v>1</v>
          </cell>
          <cell r="G2364">
            <v>0</v>
          </cell>
          <cell r="H2364">
            <v>0</v>
          </cell>
        </row>
        <row r="2365">
          <cell r="A2365">
            <v>31709</v>
          </cell>
          <cell r="B2365" t="str">
            <v>Moyen</v>
          </cell>
          <cell r="D2365" t="str">
            <v>*</v>
          </cell>
          <cell r="F2365">
            <v>1</v>
          </cell>
          <cell r="G2365">
            <v>0</v>
          </cell>
          <cell r="H2365">
            <v>0</v>
          </cell>
        </row>
        <row r="2366">
          <cell r="A2366">
            <v>31710</v>
          </cell>
          <cell r="B2366" t="str">
            <v>Moyen</v>
          </cell>
          <cell r="D2366" t="str">
            <v>*</v>
          </cell>
          <cell r="F2366">
            <v>1</v>
          </cell>
          <cell r="G2366">
            <v>0</v>
          </cell>
          <cell r="H2366">
            <v>0</v>
          </cell>
        </row>
        <row r="2367">
          <cell r="A2367">
            <v>31711</v>
          </cell>
          <cell r="B2367" t="str">
            <v>Moyen</v>
          </cell>
          <cell r="D2367" t="str">
            <v>*</v>
          </cell>
          <cell r="F2367">
            <v>1</v>
          </cell>
          <cell r="G2367">
            <v>0</v>
          </cell>
          <cell r="H2367">
            <v>0</v>
          </cell>
        </row>
        <row r="2368">
          <cell r="A2368">
            <v>31712</v>
          </cell>
          <cell r="B2368" t="str">
            <v>Moyen</v>
          </cell>
          <cell r="D2368" t="str">
            <v>*</v>
          </cell>
          <cell r="F2368">
            <v>1</v>
          </cell>
          <cell r="G2368">
            <v>0</v>
          </cell>
          <cell r="H2368">
            <v>0</v>
          </cell>
        </row>
        <row r="2369">
          <cell r="A2369">
            <v>31713</v>
          </cell>
          <cell r="B2369" t="str">
            <v>Moyen</v>
          </cell>
          <cell r="D2369" t="str">
            <v>*</v>
          </cell>
          <cell r="F2369">
            <v>1</v>
          </cell>
          <cell r="G2369">
            <v>0</v>
          </cell>
          <cell r="H2369">
            <v>0</v>
          </cell>
        </row>
        <row r="2370">
          <cell r="A2370">
            <v>31714</v>
          </cell>
          <cell r="B2370" t="str">
            <v>Moyen</v>
          </cell>
          <cell r="D2370" t="str">
            <v>*</v>
          </cell>
          <cell r="F2370">
            <v>1</v>
          </cell>
          <cell r="G2370">
            <v>0</v>
          </cell>
          <cell r="H2370">
            <v>238</v>
          </cell>
        </row>
        <row r="2371">
          <cell r="A2371">
            <v>31716</v>
          </cell>
          <cell r="B2371" t="str">
            <v>Moyen</v>
          </cell>
          <cell r="D2371" t="str">
            <v>*</v>
          </cell>
          <cell r="F2371">
            <v>1</v>
          </cell>
          <cell r="G2371">
            <v>0</v>
          </cell>
          <cell r="H2371">
            <v>0</v>
          </cell>
        </row>
        <row r="2372">
          <cell r="A2372">
            <v>31717</v>
          </cell>
          <cell r="B2372" t="str">
            <v>Moyen</v>
          </cell>
          <cell r="D2372" t="str">
            <v>*</v>
          </cell>
          <cell r="F2372">
            <v>1</v>
          </cell>
          <cell r="G2372">
            <v>0</v>
          </cell>
          <cell r="H2372">
            <v>903252.78899999999</v>
          </cell>
        </row>
        <row r="2373">
          <cell r="A2373">
            <v>31718</v>
          </cell>
          <cell r="B2373" t="str">
            <v>Moyen</v>
          </cell>
          <cell r="D2373" t="str">
            <v>*</v>
          </cell>
          <cell r="F2373">
            <v>1</v>
          </cell>
          <cell r="G2373">
            <v>0</v>
          </cell>
          <cell r="H2373">
            <v>228853.32865384599</v>
          </cell>
        </row>
        <row r="2374">
          <cell r="A2374">
            <v>31723</v>
          </cell>
          <cell r="B2374" t="str">
            <v>Moyen</v>
          </cell>
          <cell r="D2374" t="str">
            <v>*</v>
          </cell>
          <cell r="F2374">
            <v>1</v>
          </cell>
          <cell r="G2374">
            <v>0</v>
          </cell>
          <cell r="H2374">
            <v>0</v>
          </cell>
        </row>
        <row r="2375">
          <cell r="A2375">
            <v>31738</v>
          </cell>
          <cell r="B2375" t="str">
            <v>Moyen</v>
          </cell>
          <cell r="D2375" t="str">
            <v>*</v>
          </cell>
          <cell r="F2375">
            <v>1</v>
          </cell>
          <cell r="G2375">
            <v>0</v>
          </cell>
          <cell r="H2375">
            <v>525</v>
          </cell>
        </row>
        <row r="2376">
          <cell r="A2376">
            <v>31739</v>
          </cell>
          <cell r="B2376" t="str">
            <v>Moyen</v>
          </cell>
          <cell r="D2376" t="str">
            <v>*</v>
          </cell>
          <cell r="F2376">
            <v>1</v>
          </cell>
          <cell r="G2376">
            <v>0</v>
          </cell>
          <cell r="H2376">
            <v>0</v>
          </cell>
        </row>
        <row r="2377">
          <cell r="A2377">
            <v>31740</v>
          </cell>
          <cell r="B2377" t="str">
            <v>Moyen</v>
          </cell>
          <cell r="D2377" t="str">
            <v>*</v>
          </cell>
          <cell r="F2377">
            <v>1</v>
          </cell>
          <cell r="G2377">
            <v>0</v>
          </cell>
          <cell r="H2377">
            <v>213330.32739430401</v>
          </cell>
        </row>
        <row r="2378">
          <cell r="A2378">
            <v>31796</v>
          </cell>
          <cell r="B2378" t="str">
            <v>Moyen</v>
          </cell>
          <cell r="D2378" t="str">
            <v>*</v>
          </cell>
          <cell r="F2378">
            <v>1</v>
          </cell>
          <cell r="G2378">
            <v>0</v>
          </cell>
          <cell r="H2378">
            <v>1119900</v>
          </cell>
        </row>
        <row r="2379">
          <cell r="A2379">
            <v>31797</v>
          </cell>
          <cell r="B2379" t="str">
            <v>Moyen</v>
          </cell>
          <cell r="D2379" t="str">
            <v>*</v>
          </cell>
          <cell r="F2379">
            <v>1</v>
          </cell>
          <cell r="G2379">
            <v>0</v>
          </cell>
          <cell r="H2379">
            <v>0</v>
          </cell>
        </row>
        <row r="2380">
          <cell r="A2380">
            <v>31798</v>
          </cell>
          <cell r="B2380" t="str">
            <v>Moyen</v>
          </cell>
          <cell r="D2380" t="str">
            <v>*</v>
          </cell>
          <cell r="F2380">
            <v>1</v>
          </cell>
          <cell r="G2380">
            <v>0</v>
          </cell>
          <cell r="H2380">
            <v>0</v>
          </cell>
        </row>
        <row r="2381">
          <cell r="A2381">
            <v>31799</v>
          </cell>
          <cell r="B2381" t="str">
            <v>Moyen</v>
          </cell>
          <cell r="D2381" t="str">
            <v>*</v>
          </cell>
          <cell r="F2381">
            <v>1</v>
          </cell>
          <cell r="G2381">
            <v>0</v>
          </cell>
          <cell r="H2381">
            <v>34208.157550000004</v>
          </cell>
        </row>
        <row r="2382">
          <cell r="A2382">
            <v>31816</v>
          </cell>
          <cell r="B2382" t="str">
            <v>Moyen</v>
          </cell>
          <cell r="D2382" t="str">
            <v>*</v>
          </cell>
          <cell r="F2382">
            <v>1</v>
          </cell>
          <cell r="G2382">
            <v>0</v>
          </cell>
          <cell r="H2382">
            <v>0</v>
          </cell>
        </row>
        <row r="2383">
          <cell r="A2383">
            <v>31817</v>
          </cell>
          <cell r="B2383" t="str">
            <v>Moyen</v>
          </cell>
          <cell r="D2383" t="str">
            <v>*</v>
          </cell>
          <cell r="F2383">
            <v>1</v>
          </cell>
          <cell r="G2383">
            <v>0</v>
          </cell>
          <cell r="H2383">
            <v>495566</v>
          </cell>
        </row>
        <row r="2384">
          <cell r="A2384">
            <v>31818</v>
          </cell>
          <cell r="B2384" t="str">
            <v>Moyen</v>
          </cell>
          <cell r="D2384" t="str">
            <v>*</v>
          </cell>
          <cell r="F2384">
            <v>1</v>
          </cell>
          <cell r="G2384">
            <v>0</v>
          </cell>
          <cell r="H2384">
            <v>0</v>
          </cell>
        </row>
        <row r="2385">
          <cell r="A2385">
            <v>31819</v>
          </cell>
          <cell r="B2385" t="str">
            <v>Moyen</v>
          </cell>
          <cell r="D2385" t="str">
            <v>*</v>
          </cell>
          <cell r="F2385">
            <v>1</v>
          </cell>
          <cell r="G2385">
            <v>0</v>
          </cell>
          <cell r="H2385">
            <v>28756.5</v>
          </cell>
        </row>
        <row r="2386">
          <cell r="A2386">
            <v>31823</v>
          </cell>
          <cell r="B2386" t="str">
            <v>Moyen</v>
          </cell>
          <cell r="D2386" t="str">
            <v>*</v>
          </cell>
          <cell r="F2386">
            <v>1</v>
          </cell>
          <cell r="G2386">
            <v>0</v>
          </cell>
          <cell r="H2386">
            <v>761920.67652802297</v>
          </cell>
        </row>
        <row r="2387">
          <cell r="A2387">
            <v>31824</v>
          </cell>
          <cell r="B2387" t="str">
            <v>Moyen</v>
          </cell>
          <cell r="D2387" t="str">
            <v>*</v>
          </cell>
          <cell r="F2387">
            <v>1</v>
          </cell>
          <cell r="G2387">
            <v>0</v>
          </cell>
          <cell r="H2387">
            <v>8792.27053140096</v>
          </cell>
        </row>
        <row r="2388">
          <cell r="A2388">
            <v>31825</v>
          </cell>
          <cell r="B2388" t="str">
            <v>Moyen</v>
          </cell>
          <cell r="D2388" t="str">
            <v>*</v>
          </cell>
          <cell r="F2388">
            <v>1</v>
          </cell>
          <cell r="G2388">
            <v>0</v>
          </cell>
          <cell r="H2388">
            <v>1160</v>
          </cell>
        </row>
        <row r="2389">
          <cell r="A2389">
            <v>31826</v>
          </cell>
          <cell r="B2389" t="str">
            <v>Moyen</v>
          </cell>
          <cell r="D2389" t="str">
            <v>*</v>
          </cell>
          <cell r="F2389">
            <v>1</v>
          </cell>
          <cell r="G2389">
            <v>0</v>
          </cell>
          <cell r="H2389">
            <v>1350</v>
          </cell>
        </row>
        <row r="2390">
          <cell r="A2390">
            <v>31827</v>
          </cell>
          <cell r="B2390" t="str">
            <v>Moyen</v>
          </cell>
          <cell r="D2390" t="str">
            <v>*</v>
          </cell>
          <cell r="F2390">
            <v>1</v>
          </cell>
          <cell r="G2390">
            <v>0</v>
          </cell>
          <cell r="H2390">
            <v>0</v>
          </cell>
        </row>
        <row r="2391">
          <cell r="A2391">
            <v>31836</v>
          </cell>
          <cell r="B2391" t="str">
            <v>Moyen</v>
          </cell>
          <cell r="D2391" t="str">
            <v>*</v>
          </cell>
          <cell r="F2391">
            <v>1</v>
          </cell>
          <cell r="G2391">
            <v>0</v>
          </cell>
          <cell r="H2391">
            <v>0</v>
          </cell>
        </row>
        <row r="2392">
          <cell r="A2392">
            <v>31840</v>
          </cell>
          <cell r="B2392" t="str">
            <v>Moyen</v>
          </cell>
          <cell r="D2392" t="str">
            <v>*</v>
          </cell>
          <cell r="F2392">
            <v>1</v>
          </cell>
          <cell r="G2392">
            <v>0</v>
          </cell>
          <cell r="H2392">
            <v>94457.825443722904</v>
          </cell>
        </row>
        <row r="2393">
          <cell r="A2393">
            <v>31841</v>
          </cell>
          <cell r="B2393" t="str">
            <v>Moyen</v>
          </cell>
          <cell r="D2393" t="str">
            <v>*</v>
          </cell>
          <cell r="F2393">
            <v>1</v>
          </cell>
          <cell r="G2393">
            <v>0</v>
          </cell>
          <cell r="H2393">
            <v>2541.2125323794198</v>
          </cell>
        </row>
        <row r="2394">
          <cell r="A2394">
            <v>31842</v>
          </cell>
          <cell r="B2394" t="str">
            <v>Moyen</v>
          </cell>
          <cell r="D2394" t="str">
            <v>*</v>
          </cell>
          <cell r="F2394">
            <v>1</v>
          </cell>
          <cell r="G2394">
            <v>0</v>
          </cell>
          <cell r="H2394">
            <v>1000</v>
          </cell>
        </row>
        <row r="2395">
          <cell r="A2395">
            <v>31843</v>
          </cell>
          <cell r="B2395" t="str">
            <v>Moyen</v>
          </cell>
          <cell r="D2395" t="str">
            <v>*</v>
          </cell>
          <cell r="F2395">
            <v>1</v>
          </cell>
          <cell r="G2395">
            <v>0</v>
          </cell>
          <cell r="H2395">
            <v>0</v>
          </cell>
        </row>
        <row r="2396">
          <cell r="A2396">
            <v>31844</v>
          </cell>
          <cell r="B2396" t="str">
            <v>Moyen</v>
          </cell>
          <cell r="D2396" t="str">
            <v>*</v>
          </cell>
          <cell r="F2396">
            <v>1</v>
          </cell>
          <cell r="G2396">
            <v>0</v>
          </cell>
          <cell r="H2396">
            <v>0</v>
          </cell>
        </row>
        <row r="2397">
          <cell r="A2397">
            <v>31845</v>
          </cell>
          <cell r="B2397" t="str">
            <v>Moyen</v>
          </cell>
          <cell r="D2397" t="str">
            <v>*</v>
          </cell>
          <cell r="F2397">
            <v>1</v>
          </cell>
          <cell r="G2397">
            <v>0</v>
          </cell>
          <cell r="H2397">
            <v>0</v>
          </cell>
        </row>
        <row r="2398">
          <cell r="A2398">
            <v>31846</v>
          </cell>
          <cell r="B2398" t="str">
            <v>Moyen</v>
          </cell>
          <cell r="D2398" t="str">
            <v>*</v>
          </cell>
          <cell r="F2398">
            <v>1</v>
          </cell>
          <cell r="G2398">
            <v>0</v>
          </cell>
          <cell r="H2398">
            <v>0</v>
          </cell>
        </row>
        <row r="2399">
          <cell r="A2399">
            <v>31847</v>
          </cell>
          <cell r="B2399" t="str">
            <v>Moyen</v>
          </cell>
          <cell r="D2399" t="str">
            <v>*</v>
          </cell>
          <cell r="F2399">
            <v>1</v>
          </cell>
          <cell r="G2399">
            <v>0</v>
          </cell>
          <cell r="H2399">
            <v>0</v>
          </cell>
        </row>
        <row r="2400">
          <cell r="A2400">
            <v>31848</v>
          </cell>
          <cell r="B2400" t="str">
            <v>Moyen</v>
          </cell>
          <cell r="D2400" t="str">
            <v>*</v>
          </cell>
          <cell r="F2400">
            <v>1</v>
          </cell>
          <cell r="G2400">
            <v>0</v>
          </cell>
          <cell r="H2400">
            <v>0</v>
          </cell>
        </row>
        <row r="2401">
          <cell r="A2401">
            <v>31849</v>
          </cell>
          <cell r="B2401" t="str">
            <v>Moyen</v>
          </cell>
          <cell r="D2401" t="str">
            <v>*</v>
          </cell>
          <cell r="F2401">
            <v>1</v>
          </cell>
          <cell r="G2401">
            <v>0</v>
          </cell>
          <cell r="H2401">
            <v>0</v>
          </cell>
        </row>
        <row r="2402">
          <cell r="A2402">
            <v>31850</v>
          </cell>
          <cell r="B2402" t="str">
            <v>Moyen</v>
          </cell>
          <cell r="D2402" t="str">
            <v>*</v>
          </cell>
          <cell r="F2402">
            <v>1</v>
          </cell>
          <cell r="G2402">
            <v>0</v>
          </cell>
          <cell r="H2402">
            <v>0</v>
          </cell>
        </row>
        <row r="2403">
          <cell r="A2403">
            <v>31851</v>
          </cell>
          <cell r="B2403" t="str">
            <v>Moyen</v>
          </cell>
          <cell r="D2403" t="str">
            <v>*</v>
          </cell>
          <cell r="F2403">
            <v>1</v>
          </cell>
          <cell r="G2403">
            <v>0</v>
          </cell>
          <cell r="H2403">
            <v>0</v>
          </cell>
        </row>
        <row r="2404">
          <cell r="A2404">
            <v>31853</v>
          </cell>
          <cell r="B2404" t="str">
            <v>Moyen</v>
          </cell>
          <cell r="D2404" t="str">
            <v>*</v>
          </cell>
          <cell r="F2404">
            <v>1</v>
          </cell>
          <cell r="G2404">
            <v>0</v>
          </cell>
          <cell r="H2404">
            <v>0</v>
          </cell>
        </row>
        <row r="2405">
          <cell r="A2405">
            <v>31854</v>
          </cell>
          <cell r="B2405" t="str">
            <v>Moyen</v>
          </cell>
          <cell r="D2405" t="str">
            <v>*</v>
          </cell>
          <cell r="F2405">
            <v>1</v>
          </cell>
          <cell r="G2405">
            <v>0</v>
          </cell>
          <cell r="H2405">
            <v>0</v>
          </cell>
        </row>
        <row r="2406">
          <cell r="A2406">
            <v>31855</v>
          </cell>
          <cell r="B2406" t="str">
            <v>Moyen</v>
          </cell>
          <cell r="D2406" t="str">
            <v>*</v>
          </cell>
          <cell r="F2406">
            <v>1</v>
          </cell>
          <cell r="G2406">
            <v>0</v>
          </cell>
          <cell r="H2406">
            <v>0</v>
          </cell>
        </row>
        <row r="2407">
          <cell r="A2407">
            <v>31857</v>
          </cell>
          <cell r="B2407" t="str">
            <v>Moyen</v>
          </cell>
          <cell r="D2407" t="str">
            <v>*</v>
          </cell>
          <cell r="F2407">
            <v>1</v>
          </cell>
          <cell r="G2407">
            <v>0</v>
          </cell>
          <cell r="H2407">
            <v>0</v>
          </cell>
        </row>
        <row r="2408">
          <cell r="A2408">
            <v>31858</v>
          </cell>
          <cell r="B2408" t="str">
            <v>Moyen</v>
          </cell>
          <cell r="D2408" t="str">
            <v>*</v>
          </cell>
          <cell r="F2408">
            <v>1</v>
          </cell>
          <cell r="G2408">
            <v>0</v>
          </cell>
          <cell r="H2408">
            <v>0</v>
          </cell>
        </row>
        <row r="2409">
          <cell r="A2409">
            <v>31859</v>
          </cell>
          <cell r="B2409" t="str">
            <v>Moyen</v>
          </cell>
          <cell r="D2409" t="str">
            <v>*</v>
          </cell>
          <cell r="F2409">
            <v>1</v>
          </cell>
          <cell r="G2409">
            <v>0</v>
          </cell>
          <cell r="H2409">
            <v>0</v>
          </cell>
        </row>
        <row r="2410">
          <cell r="A2410">
            <v>31863</v>
          </cell>
          <cell r="B2410" t="str">
            <v>Moyen</v>
          </cell>
          <cell r="D2410" t="str">
            <v>*</v>
          </cell>
          <cell r="F2410">
            <v>1</v>
          </cell>
          <cell r="G2410">
            <v>0</v>
          </cell>
          <cell r="H2410">
            <v>0</v>
          </cell>
        </row>
        <row r="2411">
          <cell r="A2411">
            <v>31864</v>
          </cell>
          <cell r="B2411" t="str">
            <v>Moyen</v>
          </cell>
          <cell r="D2411" t="str">
            <v>*</v>
          </cell>
          <cell r="F2411">
            <v>1</v>
          </cell>
          <cell r="G2411">
            <v>0</v>
          </cell>
          <cell r="H2411">
            <v>0</v>
          </cell>
        </row>
        <row r="2412">
          <cell r="A2412">
            <v>31865</v>
          </cell>
          <cell r="B2412" t="str">
            <v>Moyen</v>
          </cell>
          <cell r="D2412" t="str">
            <v>*</v>
          </cell>
          <cell r="F2412">
            <v>1</v>
          </cell>
          <cell r="G2412">
            <v>0</v>
          </cell>
          <cell r="H2412">
            <v>0</v>
          </cell>
        </row>
        <row r="2413">
          <cell r="A2413">
            <v>31872</v>
          </cell>
          <cell r="B2413" t="str">
            <v>Moyen</v>
          </cell>
          <cell r="D2413" t="str">
            <v>*</v>
          </cell>
          <cell r="F2413">
            <v>1</v>
          </cell>
          <cell r="G2413">
            <v>0</v>
          </cell>
          <cell r="H2413">
            <v>0</v>
          </cell>
        </row>
        <row r="2414">
          <cell r="A2414">
            <v>31873</v>
          </cell>
          <cell r="B2414" t="str">
            <v>Moyen</v>
          </cell>
          <cell r="D2414" t="str">
            <v>*</v>
          </cell>
          <cell r="F2414">
            <v>1</v>
          </cell>
          <cell r="G2414">
            <v>0</v>
          </cell>
          <cell r="H2414">
            <v>0</v>
          </cell>
        </row>
        <row r="2415">
          <cell r="A2415">
            <v>31874</v>
          </cell>
          <cell r="B2415" t="str">
            <v>Moyen</v>
          </cell>
          <cell r="D2415" t="str">
            <v>*</v>
          </cell>
          <cell r="F2415">
            <v>1</v>
          </cell>
          <cell r="G2415">
            <v>0</v>
          </cell>
          <cell r="H2415">
            <v>0</v>
          </cell>
        </row>
        <row r="2416">
          <cell r="A2416">
            <v>31875</v>
          </cell>
          <cell r="B2416" t="str">
            <v>Moyen</v>
          </cell>
          <cell r="D2416" t="str">
            <v>*</v>
          </cell>
          <cell r="F2416">
            <v>1</v>
          </cell>
          <cell r="G2416">
            <v>0</v>
          </cell>
          <cell r="H2416">
            <v>0</v>
          </cell>
        </row>
        <row r="2417">
          <cell r="A2417">
            <v>31876</v>
          </cell>
          <cell r="B2417" t="str">
            <v>Moyen</v>
          </cell>
          <cell r="D2417" t="str">
            <v>*</v>
          </cell>
          <cell r="F2417">
            <v>1</v>
          </cell>
          <cell r="G2417">
            <v>0</v>
          </cell>
          <cell r="H2417">
            <v>0</v>
          </cell>
        </row>
        <row r="2418">
          <cell r="A2418">
            <v>31877</v>
          </cell>
          <cell r="B2418" t="str">
            <v>Moyen</v>
          </cell>
          <cell r="D2418" t="str">
            <v>*</v>
          </cell>
          <cell r="F2418">
            <v>1</v>
          </cell>
          <cell r="G2418">
            <v>0</v>
          </cell>
          <cell r="H2418">
            <v>0</v>
          </cell>
        </row>
        <row r="2419">
          <cell r="A2419">
            <v>31878</v>
          </cell>
          <cell r="B2419" t="str">
            <v>Moyen</v>
          </cell>
          <cell r="D2419" t="str">
            <v>*</v>
          </cell>
          <cell r="F2419">
            <v>1</v>
          </cell>
          <cell r="G2419">
            <v>0</v>
          </cell>
          <cell r="H2419">
            <v>0</v>
          </cell>
        </row>
        <row r="2420">
          <cell r="A2420">
            <v>31879</v>
          </cell>
          <cell r="B2420" t="str">
            <v>Moyen</v>
          </cell>
          <cell r="D2420" t="str">
            <v>*</v>
          </cell>
          <cell r="F2420">
            <v>1</v>
          </cell>
          <cell r="G2420">
            <v>0</v>
          </cell>
          <cell r="H2420">
            <v>0</v>
          </cell>
        </row>
        <row r="2421">
          <cell r="A2421">
            <v>31880</v>
          </cell>
          <cell r="B2421" t="str">
            <v>Moyen</v>
          </cell>
          <cell r="D2421" t="str">
            <v>*</v>
          </cell>
          <cell r="F2421">
            <v>1</v>
          </cell>
          <cell r="G2421">
            <v>0</v>
          </cell>
          <cell r="H2421">
            <v>0</v>
          </cell>
        </row>
        <row r="2422">
          <cell r="A2422">
            <v>32065</v>
          </cell>
          <cell r="B2422" t="str">
            <v>Moyen</v>
          </cell>
          <cell r="D2422" t="str">
            <v>*</v>
          </cell>
          <cell r="F2422">
            <v>1</v>
          </cell>
          <cell r="G2422">
            <v>0</v>
          </cell>
          <cell r="H2422">
            <v>702</v>
          </cell>
        </row>
        <row r="2423">
          <cell r="A2423">
            <v>32066</v>
          </cell>
          <cell r="B2423" t="str">
            <v>Moyen</v>
          </cell>
          <cell r="D2423" t="str">
            <v>*</v>
          </cell>
          <cell r="F2423">
            <v>1</v>
          </cell>
          <cell r="G2423">
            <v>0</v>
          </cell>
          <cell r="H2423">
            <v>702</v>
          </cell>
        </row>
        <row r="2424">
          <cell r="A2424">
            <v>32067</v>
          </cell>
          <cell r="B2424" t="str">
            <v>Moyen</v>
          </cell>
          <cell r="D2424" t="str">
            <v>*</v>
          </cell>
          <cell r="F2424">
            <v>1</v>
          </cell>
          <cell r="G2424">
            <v>0</v>
          </cell>
          <cell r="H2424">
            <v>702</v>
          </cell>
        </row>
        <row r="2425">
          <cell r="A2425">
            <v>32068</v>
          </cell>
          <cell r="B2425" t="str">
            <v>Moyen</v>
          </cell>
          <cell r="D2425" t="str">
            <v>*</v>
          </cell>
          <cell r="F2425">
            <v>1</v>
          </cell>
          <cell r="G2425">
            <v>0</v>
          </cell>
          <cell r="H2425">
            <v>0</v>
          </cell>
        </row>
        <row r="2426">
          <cell r="A2426">
            <v>32069</v>
          </cell>
          <cell r="B2426" t="str">
            <v>Moyen</v>
          </cell>
          <cell r="D2426" t="str">
            <v>*</v>
          </cell>
          <cell r="F2426">
            <v>1</v>
          </cell>
          <cell r="G2426">
            <v>0</v>
          </cell>
          <cell r="H2426">
            <v>361967.39031033003</v>
          </cell>
        </row>
        <row r="2427">
          <cell r="A2427">
            <v>32335</v>
          </cell>
          <cell r="B2427" t="str">
            <v>Moyen</v>
          </cell>
          <cell r="D2427" t="str">
            <v>*</v>
          </cell>
          <cell r="F2427">
            <v>1</v>
          </cell>
          <cell r="G2427">
            <v>0</v>
          </cell>
          <cell r="H2427">
            <v>2469.9419093429701</v>
          </cell>
        </row>
        <row r="2428">
          <cell r="A2428">
            <v>32433</v>
          </cell>
          <cell r="B2428" t="str">
            <v>Moyen</v>
          </cell>
          <cell r="D2428" t="str">
            <v>*</v>
          </cell>
          <cell r="F2428">
            <v>1</v>
          </cell>
          <cell r="G2428">
            <v>0</v>
          </cell>
          <cell r="H2428">
            <v>6139.7575200000001</v>
          </cell>
        </row>
        <row r="2429">
          <cell r="A2429">
            <v>32679</v>
          </cell>
          <cell r="B2429" t="str">
            <v>Moyen</v>
          </cell>
          <cell r="D2429" t="str">
            <v>*</v>
          </cell>
          <cell r="F2429">
            <v>1</v>
          </cell>
          <cell r="G2429">
            <v>0</v>
          </cell>
          <cell r="H2429">
            <v>1582.45775215771</v>
          </cell>
        </row>
        <row r="2430">
          <cell r="A2430">
            <v>32717</v>
          </cell>
          <cell r="B2430" t="str">
            <v>Moyen</v>
          </cell>
          <cell r="D2430" t="str">
            <v>*</v>
          </cell>
          <cell r="F2430">
            <v>1</v>
          </cell>
          <cell r="G2430">
            <v>0</v>
          </cell>
          <cell r="H2430">
            <v>0</v>
          </cell>
        </row>
        <row r="2431">
          <cell r="A2431">
            <v>32820</v>
          </cell>
          <cell r="B2431" t="str">
            <v>Moyen</v>
          </cell>
          <cell r="D2431" t="str">
            <v>*</v>
          </cell>
          <cell r="F2431">
            <v>1</v>
          </cell>
          <cell r="G2431">
            <v>0</v>
          </cell>
          <cell r="H2431">
            <v>0</v>
          </cell>
        </row>
        <row r="2432">
          <cell r="A2432">
            <v>32857</v>
          </cell>
          <cell r="B2432" t="str">
            <v>Moyen</v>
          </cell>
          <cell r="D2432" t="str">
            <v>*</v>
          </cell>
          <cell r="F2432">
            <v>1</v>
          </cell>
          <cell r="G2432">
            <v>0</v>
          </cell>
          <cell r="H2432">
            <v>0</v>
          </cell>
        </row>
        <row r="2433">
          <cell r="A2433">
            <v>33041</v>
          </cell>
          <cell r="B2433" t="str">
            <v>Moyen</v>
          </cell>
          <cell r="D2433" t="str">
            <v>*</v>
          </cell>
          <cell r="F2433">
            <v>1</v>
          </cell>
          <cell r="G2433">
            <v>0</v>
          </cell>
          <cell r="H2433">
            <v>0</v>
          </cell>
        </row>
        <row r="2434">
          <cell r="A2434">
            <v>33042</v>
          </cell>
          <cell r="B2434" t="str">
            <v>Moyen</v>
          </cell>
          <cell r="D2434" t="str">
            <v>*</v>
          </cell>
          <cell r="F2434">
            <v>1</v>
          </cell>
          <cell r="G2434">
            <v>0</v>
          </cell>
          <cell r="H2434">
            <v>0</v>
          </cell>
        </row>
        <row r="2435">
          <cell r="A2435">
            <v>33043</v>
          </cell>
          <cell r="B2435" t="str">
            <v>Moyen</v>
          </cell>
          <cell r="D2435" t="str">
            <v>*</v>
          </cell>
          <cell r="F2435">
            <v>1</v>
          </cell>
          <cell r="G2435">
            <v>0</v>
          </cell>
          <cell r="H2435">
            <v>0</v>
          </cell>
        </row>
        <row r="2436">
          <cell r="A2436">
            <v>33044</v>
          </cell>
          <cell r="B2436" t="str">
            <v>Moyen</v>
          </cell>
          <cell r="D2436" t="str">
            <v>*</v>
          </cell>
          <cell r="F2436">
            <v>1</v>
          </cell>
          <cell r="G2436">
            <v>0</v>
          </cell>
          <cell r="H2436">
            <v>0</v>
          </cell>
        </row>
        <row r="2437">
          <cell r="A2437">
            <v>33046</v>
          </cell>
          <cell r="B2437" t="str">
            <v>Moyen</v>
          </cell>
          <cell r="D2437" t="str">
            <v>*</v>
          </cell>
          <cell r="F2437">
            <v>1</v>
          </cell>
          <cell r="G2437">
            <v>0</v>
          </cell>
          <cell r="H2437">
            <v>0</v>
          </cell>
        </row>
        <row r="2438">
          <cell r="A2438">
            <v>33064</v>
          </cell>
          <cell r="B2438" t="str">
            <v>Moyen</v>
          </cell>
          <cell r="D2438" t="str">
            <v>*</v>
          </cell>
          <cell r="F2438">
            <v>1</v>
          </cell>
          <cell r="G2438">
            <v>0</v>
          </cell>
          <cell r="H2438">
            <v>0</v>
          </cell>
        </row>
        <row r="2439">
          <cell r="A2439">
            <v>33065</v>
          </cell>
          <cell r="B2439" t="str">
            <v>Moyen</v>
          </cell>
          <cell r="D2439" t="str">
            <v>*</v>
          </cell>
          <cell r="F2439">
            <v>1</v>
          </cell>
          <cell r="G2439">
            <v>0</v>
          </cell>
          <cell r="H2439">
            <v>0</v>
          </cell>
        </row>
        <row r="2440">
          <cell r="A2440">
            <v>33066</v>
          </cell>
          <cell r="B2440" t="str">
            <v>Moyen</v>
          </cell>
          <cell r="D2440" t="str">
            <v>*</v>
          </cell>
          <cell r="F2440">
            <v>1</v>
          </cell>
          <cell r="G2440">
            <v>0</v>
          </cell>
          <cell r="H2440">
            <v>0</v>
          </cell>
        </row>
        <row r="2441">
          <cell r="A2441">
            <v>33067</v>
          </cell>
          <cell r="B2441" t="str">
            <v>Moyen</v>
          </cell>
          <cell r="D2441" t="str">
            <v>*</v>
          </cell>
          <cell r="F2441">
            <v>1</v>
          </cell>
          <cell r="G2441">
            <v>0</v>
          </cell>
          <cell r="H2441">
            <v>0</v>
          </cell>
        </row>
        <row r="2442">
          <cell r="A2442">
            <v>33096</v>
          </cell>
          <cell r="B2442" t="str">
            <v>Moyen</v>
          </cell>
          <cell r="D2442" t="str">
            <v>*</v>
          </cell>
          <cell r="F2442">
            <v>1</v>
          </cell>
          <cell r="G2442">
            <v>0</v>
          </cell>
          <cell r="H2442">
            <v>0</v>
          </cell>
        </row>
        <row r="2443">
          <cell r="A2443">
            <v>33223</v>
          </cell>
          <cell r="B2443" t="str">
            <v>Moyen</v>
          </cell>
          <cell r="D2443" t="str">
            <v>*</v>
          </cell>
          <cell r="F2443">
            <v>1</v>
          </cell>
          <cell r="G2443">
            <v>0</v>
          </cell>
          <cell r="H2443">
            <v>0</v>
          </cell>
        </row>
        <row r="2444">
          <cell r="A2444">
            <v>33394</v>
          </cell>
          <cell r="B2444" t="str">
            <v>Moyen</v>
          </cell>
          <cell r="D2444" t="str">
            <v>*</v>
          </cell>
          <cell r="F2444">
            <v>1</v>
          </cell>
          <cell r="G2444">
            <v>0</v>
          </cell>
          <cell r="H2444">
            <v>0</v>
          </cell>
        </row>
        <row r="2445">
          <cell r="A2445">
            <v>33397</v>
          </cell>
          <cell r="B2445" t="str">
            <v>Moyen</v>
          </cell>
          <cell r="D2445" t="str">
            <v>*</v>
          </cell>
          <cell r="F2445">
            <v>1</v>
          </cell>
          <cell r="G2445">
            <v>0</v>
          </cell>
          <cell r="H2445">
            <v>0</v>
          </cell>
        </row>
        <row r="2446">
          <cell r="A2446">
            <v>33402</v>
          </cell>
          <cell r="B2446" t="str">
            <v>Moyen</v>
          </cell>
          <cell r="D2446" t="str">
            <v>*</v>
          </cell>
          <cell r="F2446">
            <v>1</v>
          </cell>
          <cell r="G2446">
            <v>0</v>
          </cell>
          <cell r="H2446">
            <v>0</v>
          </cell>
        </row>
        <row r="2447">
          <cell r="A2447">
            <v>33403</v>
          </cell>
          <cell r="B2447" t="str">
            <v>Moyen</v>
          </cell>
          <cell r="D2447" t="str">
            <v>*</v>
          </cell>
          <cell r="F2447">
            <v>1</v>
          </cell>
          <cell r="G2447">
            <v>0</v>
          </cell>
          <cell r="H2447">
            <v>0</v>
          </cell>
        </row>
        <row r="2448">
          <cell r="A2448">
            <v>33404</v>
          </cell>
          <cell r="B2448" t="str">
            <v>Moyen</v>
          </cell>
          <cell r="D2448" t="str">
            <v>*</v>
          </cell>
          <cell r="F2448">
            <v>1</v>
          </cell>
          <cell r="G2448">
            <v>0</v>
          </cell>
          <cell r="H2448">
            <v>0</v>
          </cell>
        </row>
        <row r="2449">
          <cell r="A2449">
            <v>33405</v>
          </cell>
          <cell r="B2449" t="str">
            <v>Moyen</v>
          </cell>
          <cell r="D2449" t="str">
            <v>*</v>
          </cell>
          <cell r="F2449">
            <v>1</v>
          </cell>
          <cell r="G2449">
            <v>0</v>
          </cell>
          <cell r="H2449">
            <v>0</v>
          </cell>
        </row>
        <row r="2450">
          <cell r="A2450">
            <v>33408</v>
          </cell>
          <cell r="B2450" t="str">
            <v>Moyen</v>
          </cell>
          <cell r="D2450" t="str">
            <v>*</v>
          </cell>
          <cell r="F2450">
            <v>1</v>
          </cell>
          <cell r="G2450">
            <v>0</v>
          </cell>
          <cell r="H2450">
            <v>0</v>
          </cell>
        </row>
        <row r="2451">
          <cell r="A2451">
            <v>33409</v>
          </cell>
          <cell r="B2451" t="str">
            <v>Moyen</v>
          </cell>
          <cell r="D2451" t="str">
            <v>*</v>
          </cell>
          <cell r="F2451">
            <v>1</v>
          </cell>
          <cell r="G2451">
            <v>0</v>
          </cell>
          <cell r="H2451">
            <v>0</v>
          </cell>
        </row>
        <row r="2452">
          <cell r="A2452">
            <v>33432</v>
          </cell>
          <cell r="B2452" t="str">
            <v>Moyen</v>
          </cell>
          <cell r="D2452" t="str">
            <v>*</v>
          </cell>
          <cell r="F2452">
            <v>1</v>
          </cell>
          <cell r="G2452">
            <v>0</v>
          </cell>
          <cell r="H2452">
            <v>0</v>
          </cell>
        </row>
        <row r="2453">
          <cell r="A2453">
            <v>33433</v>
          </cell>
          <cell r="B2453" t="str">
            <v>Moyen</v>
          </cell>
          <cell r="D2453" t="str">
            <v>*</v>
          </cell>
          <cell r="F2453">
            <v>1</v>
          </cell>
          <cell r="G2453">
            <v>0</v>
          </cell>
          <cell r="H2453">
            <v>0</v>
          </cell>
        </row>
        <row r="2454">
          <cell r="A2454">
            <v>33462</v>
          </cell>
          <cell r="B2454" t="str">
            <v>Moyen</v>
          </cell>
          <cell r="D2454" t="str">
            <v>*</v>
          </cell>
          <cell r="F2454">
            <v>1</v>
          </cell>
          <cell r="G2454">
            <v>0</v>
          </cell>
          <cell r="H2454">
            <v>0</v>
          </cell>
        </row>
        <row r="2455">
          <cell r="A2455">
            <v>33831</v>
          </cell>
          <cell r="B2455" t="str">
            <v>Moyen</v>
          </cell>
          <cell r="D2455" t="str">
            <v>*</v>
          </cell>
          <cell r="F2455">
            <v>1</v>
          </cell>
          <cell r="G2455">
            <v>0</v>
          </cell>
          <cell r="H2455">
            <v>0</v>
          </cell>
        </row>
        <row r="2456">
          <cell r="A2456">
            <v>33833</v>
          </cell>
          <cell r="B2456" t="str">
            <v>Moyen</v>
          </cell>
          <cell r="D2456" t="str">
            <v>*</v>
          </cell>
          <cell r="F2456">
            <v>1</v>
          </cell>
          <cell r="G2456">
            <v>0</v>
          </cell>
          <cell r="H2456">
            <v>0</v>
          </cell>
        </row>
        <row r="2457">
          <cell r="A2457">
            <v>33860</v>
          </cell>
          <cell r="B2457" t="str">
            <v>Moyen</v>
          </cell>
          <cell r="D2457" t="str">
            <v>*</v>
          </cell>
          <cell r="F2457">
            <v>1</v>
          </cell>
          <cell r="G2457">
            <v>0</v>
          </cell>
          <cell r="H2457">
            <v>0</v>
          </cell>
        </row>
        <row r="2458">
          <cell r="A2458">
            <v>33861</v>
          </cell>
          <cell r="B2458" t="str">
            <v>Moyen</v>
          </cell>
          <cell r="D2458" t="str">
            <v>*</v>
          </cell>
          <cell r="F2458">
            <v>1</v>
          </cell>
          <cell r="G2458">
            <v>0</v>
          </cell>
          <cell r="H2458">
            <v>0</v>
          </cell>
        </row>
        <row r="2459">
          <cell r="A2459">
            <v>33862</v>
          </cell>
          <cell r="B2459" t="str">
            <v>Moyen</v>
          </cell>
          <cell r="D2459" t="str">
            <v>*</v>
          </cell>
          <cell r="F2459">
            <v>1</v>
          </cell>
          <cell r="G2459">
            <v>0</v>
          </cell>
          <cell r="H2459">
            <v>0</v>
          </cell>
        </row>
        <row r="2460">
          <cell r="A2460">
            <v>33863</v>
          </cell>
          <cell r="B2460" t="str">
            <v>Moyen</v>
          </cell>
          <cell r="D2460" t="str">
            <v>*</v>
          </cell>
          <cell r="F2460">
            <v>1</v>
          </cell>
          <cell r="G2460">
            <v>0</v>
          </cell>
          <cell r="H2460">
            <v>0</v>
          </cell>
        </row>
        <row r="2461">
          <cell r="A2461">
            <v>33872</v>
          </cell>
          <cell r="B2461" t="str">
            <v>Moyen</v>
          </cell>
          <cell r="D2461" t="str">
            <v>*</v>
          </cell>
          <cell r="F2461">
            <v>1</v>
          </cell>
          <cell r="G2461">
            <v>0</v>
          </cell>
          <cell r="H2461">
            <v>1103839.24</v>
          </cell>
        </row>
        <row r="2462">
          <cell r="A2462">
            <v>33921</v>
          </cell>
          <cell r="B2462" t="str">
            <v>Moyen</v>
          </cell>
          <cell r="D2462" t="str">
            <v>*</v>
          </cell>
          <cell r="F2462">
            <v>1</v>
          </cell>
          <cell r="G2462">
            <v>0</v>
          </cell>
          <cell r="H2462">
            <v>0</v>
          </cell>
        </row>
        <row r="2463">
          <cell r="A2463">
            <v>33925</v>
          </cell>
          <cell r="B2463" t="str">
            <v>Moyen</v>
          </cell>
          <cell r="D2463" t="str">
            <v>*</v>
          </cell>
          <cell r="F2463">
            <v>1</v>
          </cell>
          <cell r="G2463">
            <v>0</v>
          </cell>
          <cell r="H2463">
            <v>0</v>
          </cell>
        </row>
        <row r="2464">
          <cell r="A2464">
            <v>33928</v>
          </cell>
          <cell r="B2464" t="str">
            <v>Moyen</v>
          </cell>
          <cell r="D2464" t="str">
            <v>*</v>
          </cell>
          <cell r="F2464">
            <v>1</v>
          </cell>
          <cell r="G2464">
            <v>0</v>
          </cell>
          <cell r="H2464">
            <v>0</v>
          </cell>
        </row>
        <row r="2465">
          <cell r="A2465">
            <v>34002</v>
          </cell>
          <cell r="B2465" t="str">
            <v>Moyen</v>
          </cell>
          <cell r="D2465" t="str">
            <v>*</v>
          </cell>
          <cell r="F2465">
            <v>1</v>
          </cell>
          <cell r="G2465">
            <v>0</v>
          </cell>
          <cell r="H2465">
            <v>4000</v>
          </cell>
        </row>
        <row r="2466">
          <cell r="A2466">
            <v>34008</v>
          </cell>
          <cell r="B2466" t="str">
            <v>Moyen</v>
          </cell>
          <cell r="D2466" t="str">
            <v>*</v>
          </cell>
          <cell r="F2466">
            <v>1</v>
          </cell>
          <cell r="G2466">
            <v>0</v>
          </cell>
          <cell r="H2466">
            <v>0</v>
          </cell>
        </row>
        <row r="2467">
          <cell r="A2467">
            <v>34009</v>
          </cell>
          <cell r="B2467" t="str">
            <v>Moyen</v>
          </cell>
          <cell r="D2467" t="str">
            <v>*</v>
          </cell>
          <cell r="F2467">
            <v>1</v>
          </cell>
          <cell r="G2467">
            <v>0</v>
          </cell>
          <cell r="H2467">
            <v>0</v>
          </cell>
        </row>
        <row r="2468">
          <cell r="A2468">
            <v>34091</v>
          </cell>
          <cell r="B2468" t="str">
            <v>Moyen</v>
          </cell>
          <cell r="D2468" t="str">
            <v>*</v>
          </cell>
          <cell r="F2468">
            <v>1</v>
          </cell>
          <cell r="G2468">
            <v>0</v>
          </cell>
          <cell r="H2468">
            <v>0</v>
          </cell>
        </row>
        <row r="2469">
          <cell r="A2469">
            <v>34092</v>
          </cell>
          <cell r="B2469" t="str">
            <v>Moyen</v>
          </cell>
          <cell r="D2469" t="str">
            <v>*</v>
          </cell>
          <cell r="F2469">
            <v>1</v>
          </cell>
          <cell r="G2469">
            <v>0</v>
          </cell>
          <cell r="H2469">
            <v>0</v>
          </cell>
        </row>
        <row r="2470">
          <cell r="A2470">
            <v>34093</v>
          </cell>
          <cell r="B2470" t="str">
            <v>Moyen</v>
          </cell>
          <cell r="D2470" t="str">
            <v>*</v>
          </cell>
          <cell r="F2470">
            <v>1</v>
          </cell>
          <cell r="G2470">
            <v>0</v>
          </cell>
          <cell r="H2470">
            <v>0</v>
          </cell>
        </row>
        <row r="2471">
          <cell r="A2471">
            <v>34122</v>
          </cell>
          <cell r="B2471" t="str">
            <v>Moyen</v>
          </cell>
          <cell r="D2471" t="str">
            <v>*</v>
          </cell>
          <cell r="F2471">
            <v>1</v>
          </cell>
          <cell r="G2471">
            <v>0</v>
          </cell>
          <cell r="H2471">
            <v>0</v>
          </cell>
        </row>
        <row r="2472">
          <cell r="A2472">
            <v>34127</v>
          </cell>
          <cell r="B2472" t="str">
            <v>Moyen</v>
          </cell>
          <cell r="D2472" t="str">
            <v>*</v>
          </cell>
          <cell r="F2472">
            <v>1</v>
          </cell>
          <cell r="G2472">
            <v>0</v>
          </cell>
          <cell r="H2472">
            <v>0</v>
          </cell>
        </row>
        <row r="2473">
          <cell r="A2473">
            <v>34128</v>
          </cell>
          <cell r="B2473" t="str">
            <v>Moyen</v>
          </cell>
          <cell r="D2473" t="str">
            <v>*</v>
          </cell>
          <cell r="F2473">
            <v>1</v>
          </cell>
          <cell r="G2473">
            <v>0</v>
          </cell>
          <cell r="H2473">
            <v>0</v>
          </cell>
        </row>
        <row r="2474">
          <cell r="A2474">
            <v>34134</v>
          </cell>
          <cell r="B2474" t="str">
            <v>Moyen</v>
          </cell>
          <cell r="D2474" t="str">
            <v>*</v>
          </cell>
          <cell r="F2474">
            <v>1</v>
          </cell>
          <cell r="G2474">
            <v>0</v>
          </cell>
          <cell r="H2474">
            <v>0</v>
          </cell>
        </row>
        <row r="2475">
          <cell r="A2475">
            <v>34135</v>
          </cell>
          <cell r="B2475" t="str">
            <v>Moyen</v>
          </cell>
          <cell r="D2475" t="str">
            <v>*</v>
          </cell>
          <cell r="F2475">
            <v>1</v>
          </cell>
          <cell r="G2475">
            <v>0</v>
          </cell>
          <cell r="H2475">
            <v>0</v>
          </cell>
        </row>
        <row r="2476">
          <cell r="A2476">
            <v>34136</v>
          </cell>
          <cell r="B2476" t="str">
            <v>Moyen</v>
          </cell>
          <cell r="D2476" t="str">
            <v>*</v>
          </cell>
          <cell r="F2476">
            <v>1</v>
          </cell>
          <cell r="G2476">
            <v>0</v>
          </cell>
          <cell r="H2476">
            <v>0</v>
          </cell>
        </row>
        <row r="2477">
          <cell r="A2477">
            <v>34221</v>
          </cell>
          <cell r="B2477" t="str">
            <v>Moyen</v>
          </cell>
          <cell r="D2477" t="str">
            <v>*</v>
          </cell>
          <cell r="F2477">
            <v>1</v>
          </cell>
          <cell r="G2477">
            <v>0</v>
          </cell>
          <cell r="H2477">
            <v>0</v>
          </cell>
        </row>
        <row r="2478">
          <cell r="A2478">
            <v>34222</v>
          </cell>
          <cell r="B2478" t="str">
            <v>Moyen</v>
          </cell>
          <cell r="D2478" t="str">
            <v>*</v>
          </cell>
          <cell r="F2478">
            <v>1</v>
          </cell>
          <cell r="G2478">
            <v>0</v>
          </cell>
          <cell r="H2478">
            <v>0</v>
          </cell>
        </row>
        <row r="2479">
          <cell r="A2479">
            <v>34223</v>
          </cell>
          <cell r="B2479" t="str">
            <v>Moyen</v>
          </cell>
          <cell r="D2479" t="str">
            <v>*</v>
          </cell>
          <cell r="F2479">
            <v>1</v>
          </cell>
          <cell r="G2479">
            <v>0</v>
          </cell>
          <cell r="H2479">
            <v>0</v>
          </cell>
        </row>
        <row r="2480">
          <cell r="A2480">
            <v>34224</v>
          </cell>
          <cell r="B2480" t="str">
            <v>Moyen</v>
          </cell>
          <cell r="D2480" t="str">
            <v>*</v>
          </cell>
          <cell r="F2480">
            <v>1</v>
          </cell>
          <cell r="G2480">
            <v>0</v>
          </cell>
          <cell r="H2480">
            <v>0</v>
          </cell>
        </row>
        <row r="2481">
          <cell r="A2481">
            <v>34251</v>
          </cell>
          <cell r="B2481" t="str">
            <v>Moyen</v>
          </cell>
          <cell r="D2481" t="str">
            <v>*</v>
          </cell>
          <cell r="F2481">
            <v>1</v>
          </cell>
          <cell r="G2481">
            <v>0</v>
          </cell>
          <cell r="H2481">
            <v>0</v>
          </cell>
        </row>
        <row r="2482">
          <cell r="A2482">
            <v>34324</v>
          </cell>
          <cell r="B2482" t="str">
            <v>Moyen</v>
          </cell>
          <cell r="D2482" t="str">
            <v>*</v>
          </cell>
          <cell r="F2482">
            <v>1</v>
          </cell>
          <cell r="G2482">
            <v>0</v>
          </cell>
          <cell r="H2482">
            <v>0</v>
          </cell>
        </row>
        <row r="2483">
          <cell r="A2483">
            <v>53030</v>
          </cell>
          <cell r="B2483" t="str">
            <v>Moyen</v>
          </cell>
          <cell r="D2483" t="str">
            <v>*</v>
          </cell>
          <cell r="F2483">
            <v>1</v>
          </cell>
          <cell r="G2483">
            <v>0</v>
          </cell>
          <cell r="H2483">
            <v>0</v>
          </cell>
        </row>
        <row r="2484">
          <cell r="A2484">
            <v>6126</v>
          </cell>
          <cell r="B2484" t="str">
            <v>Moyen</v>
          </cell>
          <cell r="D2484" t="str">
            <v>*</v>
          </cell>
          <cell r="F2484">
            <v>1</v>
          </cell>
          <cell r="G2484">
            <v>0</v>
          </cell>
          <cell r="H2484">
            <v>4000</v>
          </cell>
        </row>
        <row r="2485">
          <cell r="A2485">
            <v>80901</v>
          </cell>
          <cell r="B2485" t="str">
            <v>Moyen</v>
          </cell>
          <cell r="F2485">
            <v>1</v>
          </cell>
          <cell r="G2485">
            <v>0</v>
          </cell>
          <cell r="H2485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ock actif"/>
      <sheetName val="Stock provisionné"/>
    </sheetNames>
    <sheetDataSet>
      <sheetData sheetId="0">
        <row r="1">
          <cell r="A1" t="str">
            <v>Article</v>
          </cell>
          <cell r="B1" t="str">
            <v>Description</v>
          </cell>
          <cell r="C1" t="str">
            <v>Organisation</v>
          </cell>
          <cell r="D1" t="str">
            <v>UdM</v>
          </cell>
          <cell r="E1" t="str">
            <v>Dispo</v>
          </cell>
          <cell r="F1" t="str">
            <v>Rufisque</v>
          </cell>
          <cell r="G1" t="str">
            <v>TOTAL</v>
          </cell>
          <cell r="H1" t="str">
            <v>CUMP</v>
          </cell>
          <cell r="I1" t="str">
            <v>Valeur</v>
          </cell>
          <cell r="J1" t="str">
            <v>FAS à appliquer</v>
          </cell>
          <cell r="K1" t="str">
            <v>Famille</v>
          </cell>
        </row>
        <row r="2">
          <cell r="A2">
            <v>11</v>
          </cell>
          <cell r="B2" t="str">
            <v xml:space="preserve">3GV28041AB : Batterie pour combiné sans fil Bluetooth® pour poste Alcatel-Lucent IP Touch 4068 </v>
          </cell>
          <cell r="C2" t="str">
            <v>OBS</v>
          </cell>
          <cell r="D2" t="str">
            <v>PCE</v>
          </cell>
          <cell r="E2">
            <v>2</v>
          </cell>
          <cell r="G2">
            <v>2</v>
          </cell>
          <cell r="H2">
            <v>6272.13414545454</v>
          </cell>
          <cell r="I2">
            <v>12544.26829090908</v>
          </cell>
          <cell r="J2" t="str">
            <v>Oui</v>
          </cell>
          <cell r="K2" t="str">
            <v>Alcatel-Lucent</v>
          </cell>
        </row>
        <row r="3">
          <cell r="A3">
            <v>15</v>
          </cell>
          <cell r="B3" t="str">
            <v xml:space="preserve">3EH76187AA : EXTENSION POUR BATTERIE RACK </v>
          </cell>
          <cell r="C3" t="str">
            <v>OBS</v>
          </cell>
          <cell r="D3" t="str">
            <v>PCE</v>
          </cell>
          <cell r="E3">
            <v>1</v>
          </cell>
          <cell r="F3">
            <v>2</v>
          </cell>
          <cell r="G3">
            <v>3</v>
          </cell>
          <cell r="H3">
            <v>111731</v>
          </cell>
          <cell r="I3">
            <v>335193</v>
          </cell>
          <cell r="J3" t="str">
            <v>Oui</v>
          </cell>
          <cell r="K3" t="str">
            <v>Alcatel-Lucent</v>
          </cell>
        </row>
        <row r="4">
          <cell r="A4">
            <v>18</v>
          </cell>
          <cell r="B4" t="str">
            <v>3MG08011AA 8008 POWER SUPPLY</v>
          </cell>
          <cell r="C4" t="str">
            <v>OBS</v>
          </cell>
          <cell r="D4" t="str">
            <v>PCE</v>
          </cell>
          <cell r="E4">
            <v>74</v>
          </cell>
          <cell r="F4">
            <v>300</v>
          </cell>
          <cell r="G4">
            <v>374</v>
          </cell>
          <cell r="H4">
            <v>6139.7575200000001</v>
          </cell>
          <cell r="I4">
            <v>2296269.3124799998</v>
          </cell>
          <cell r="J4" t="str">
            <v>Oui</v>
          </cell>
          <cell r="K4" t="str">
            <v>Alcatel-Lucent</v>
          </cell>
        </row>
        <row r="5">
          <cell r="A5">
            <v>19</v>
          </cell>
          <cell r="B5" t="str">
            <v xml:space="preserve">3EH73044BA : CARTE RECEPTION DE TAXES 12 KHz </v>
          </cell>
          <cell r="C5" t="str">
            <v>OBS</v>
          </cell>
          <cell r="D5" t="str">
            <v>PCE</v>
          </cell>
          <cell r="E5">
            <v>1</v>
          </cell>
          <cell r="F5">
            <v>13</v>
          </cell>
          <cell r="G5">
            <v>14</v>
          </cell>
          <cell r="H5">
            <v>28782</v>
          </cell>
          <cell r="I5">
            <v>402948</v>
          </cell>
          <cell r="J5" t="str">
            <v>Oui</v>
          </cell>
          <cell r="K5" t="str">
            <v>Alcatel-Lucent</v>
          </cell>
        </row>
        <row r="6">
          <cell r="A6">
            <v>38</v>
          </cell>
          <cell r="B6" t="str">
            <v>ENCOREPRO HW510,E+A Réf: 89433-02</v>
          </cell>
          <cell r="C6" t="str">
            <v>OBS</v>
          </cell>
          <cell r="D6" t="str">
            <v>PCE</v>
          </cell>
          <cell r="E6">
            <v>15</v>
          </cell>
          <cell r="F6">
            <v>25</v>
          </cell>
          <cell r="G6">
            <v>40</v>
          </cell>
          <cell r="H6">
            <v>40710.102500000001</v>
          </cell>
          <cell r="I6">
            <v>1628404.1</v>
          </cell>
          <cell r="J6" t="str">
            <v>Oui</v>
          </cell>
          <cell r="K6" t="str">
            <v>Générique</v>
          </cell>
        </row>
        <row r="7">
          <cell r="A7">
            <v>40</v>
          </cell>
          <cell r="B7" t="str">
            <v>VOYAGER 6200 UC,B6200,BLACK,WW Réf: 208748-01</v>
          </cell>
          <cell r="C7" t="str">
            <v>OBS</v>
          </cell>
          <cell r="D7" t="str">
            <v>PCE</v>
          </cell>
          <cell r="F7">
            <v>5</v>
          </cell>
          <cell r="G7">
            <v>5</v>
          </cell>
          <cell r="H7">
            <v>107332</v>
          </cell>
          <cell r="I7">
            <v>536660</v>
          </cell>
          <cell r="J7" t="str">
            <v>Oui</v>
          </cell>
          <cell r="K7" t="str">
            <v>Générique</v>
          </cell>
        </row>
        <row r="8">
          <cell r="A8">
            <v>42</v>
          </cell>
          <cell r="B8" t="str">
            <v>CALISTO 5200,USB-A+3.5mm Réf : 210902-01</v>
          </cell>
          <cell r="C8" t="str">
            <v>OBS</v>
          </cell>
          <cell r="D8" t="str">
            <v>PCE</v>
          </cell>
          <cell r="F8">
            <v>10</v>
          </cell>
          <cell r="G8">
            <v>10</v>
          </cell>
          <cell r="H8">
            <v>68330</v>
          </cell>
          <cell r="I8">
            <v>683300</v>
          </cell>
          <cell r="J8" t="str">
            <v>Oui</v>
          </cell>
          <cell r="K8" t="str">
            <v>Générique</v>
          </cell>
        </row>
        <row r="9">
          <cell r="A9">
            <v>133</v>
          </cell>
          <cell r="B9" t="str">
            <v>CABLE 74 56 6</v>
          </cell>
          <cell r="C9" t="str">
            <v>OBS</v>
          </cell>
          <cell r="D9" t="str">
            <v>M</v>
          </cell>
          <cell r="F9">
            <v>132</v>
          </cell>
          <cell r="G9">
            <v>132</v>
          </cell>
          <cell r="H9">
            <v>3921.4160000000002</v>
          </cell>
          <cell r="I9">
            <v>517626.91200000001</v>
          </cell>
          <cell r="J9" t="str">
            <v>Oui</v>
          </cell>
          <cell r="K9" t="str">
            <v>Générique</v>
          </cell>
        </row>
        <row r="10">
          <cell r="A10">
            <v>174</v>
          </cell>
          <cell r="B10" t="str">
            <v>CABLE LY 2X2 6/10</v>
          </cell>
          <cell r="C10" t="str">
            <v>OBS</v>
          </cell>
          <cell r="D10" t="str">
            <v>M</v>
          </cell>
          <cell r="F10">
            <v>8628</v>
          </cell>
          <cell r="G10">
            <v>8628</v>
          </cell>
          <cell r="H10">
            <v>89</v>
          </cell>
          <cell r="I10">
            <v>767892</v>
          </cell>
          <cell r="J10" t="str">
            <v>Oui</v>
          </cell>
          <cell r="K10" t="str">
            <v>Générique</v>
          </cell>
        </row>
        <row r="11">
          <cell r="A11">
            <v>181</v>
          </cell>
          <cell r="B11" t="str">
            <v>CABLE 15X2</v>
          </cell>
          <cell r="C11" t="str">
            <v>OBS</v>
          </cell>
          <cell r="D11" t="str">
            <v>M</v>
          </cell>
          <cell r="F11">
            <v>194</v>
          </cell>
          <cell r="G11">
            <v>194</v>
          </cell>
          <cell r="H11">
            <v>939</v>
          </cell>
          <cell r="I11">
            <v>182166</v>
          </cell>
          <cell r="J11" t="str">
            <v>Oui</v>
          </cell>
          <cell r="K11" t="str">
            <v>Générique</v>
          </cell>
        </row>
        <row r="12">
          <cell r="A12">
            <v>192</v>
          </cell>
          <cell r="B12" t="str">
            <v>FIL JARRETIERE ROUGE/BLANC</v>
          </cell>
          <cell r="C12" t="str">
            <v>OBS</v>
          </cell>
          <cell r="D12" t="str">
            <v>M</v>
          </cell>
          <cell r="F12">
            <v>214</v>
          </cell>
          <cell r="G12">
            <v>214</v>
          </cell>
          <cell r="H12">
            <v>139</v>
          </cell>
          <cell r="I12">
            <v>29746</v>
          </cell>
          <cell r="J12" t="str">
            <v>Non</v>
          </cell>
          <cell r="K12" t="str">
            <v>Générique</v>
          </cell>
        </row>
        <row r="13">
          <cell r="A13">
            <v>236</v>
          </cell>
          <cell r="B13" t="str">
            <v>MANCHON POUR CONNECTEUR RJ45 NOIR</v>
          </cell>
          <cell r="C13" t="str">
            <v>OBS</v>
          </cell>
          <cell r="D13" t="str">
            <v>PCE</v>
          </cell>
          <cell r="E13">
            <v>732</v>
          </cell>
          <cell r="F13">
            <v>2900</v>
          </cell>
          <cell r="G13">
            <v>3632</v>
          </cell>
          <cell r="H13">
            <v>75</v>
          </cell>
          <cell r="I13">
            <v>272400</v>
          </cell>
          <cell r="J13" t="str">
            <v>Non</v>
          </cell>
          <cell r="K13" t="str">
            <v>Générique</v>
          </cell>
        </row>
        <row r="14">
          <cell r="A14">
            <v>251</v>
          </cell>
          <cell r="B14" t="str">
            <v>CONNECTEUR SCOTCH  UY</v>
          </cell>
          <cell r="C14" t="str">
            <v>OBS</v>
          </cell>
          <cell r="D14" t="str">
            <v>PCE</v>
          </cell>
          <cell r="E14">
            <v>1011</v>
          </cell>
          <cell r="F14">
            <v>1934</v>
          </cell>
          <cell r="G14">
            <v>2945</v>
          </cell>
          <cell r="H14">
            <v>20</v>
          </cell>
          <cell r="I14">
            <v>58900</v>
          </cell>
          <cell r="J14" t="str">
            <v>Non</v>
          </cell>
          <cell r="K14" t="str">
            <v>Générique</v>
          </cell>
        </row>
        <row r="15">
          <cell r="A15">
            <v>258</v>
          </cell>
          <cell r="B15" t="str">
            <v>CONNECTEUR RJ11</v>
          </cell>
          <cell r="C15" t="str">
            <v>OBS</v>
          </cell>
          <cell r="D15" t="str">
            <v>PCE</v>
          </cell>
          <cell r="F15">
            <v>5643</v>
          </cell>
          <cell r="G15">
            <v>5643</v>
          </cell>
          <cell r="H15">
            <v>32</v>
          </cell>
          <cell r="I15">
            <v>180576</v>
          </cell>
          <cell r="J15" t="str">
            <v>Non</v>
          </cell>
          <cell r="K15" t="str">
            <v>Générique</v>
          </cell>
        </row>
        <row r="16">
          <cell r="A16">
            <v>259</v>
          </cell>
          <cell r="B16" t="str">
            <v>CONNECTEUR RJ45</v>
          </cell>
          <cell r="C16" t="str">
            <v>OBS</v>
          </cell>
          <cell r="D16" t="str">
            <v>PCE</v>
          </cell>
          <cell r="E16">
            <v>4262</v>
          </cell>
          <cell r="F16">
            <v>5000</v>
          </cell>
          <cell r="G16">
            <v>9262</v>
          </cell>
          <cell r="H16">
            <v>98.575244293490201</v>
          </cell>
          <cell r="I16">
            <v>913003.91264630621</v>
          </cell>
          <cell r="J16" t="str">
            <v>Non</v>
          </cell>
          <cell r="K16" t="str">
            <v>Générique</v>
          </cell>
        </row>
        <row r="17">
          <cell r="A17">
            <v>304</v>
          </cell>
          <cell r="B17" t="str">
            <v>BOITE DE 100  ATTACHES DE 5mm  PLASTIQUE IVOIRE</v>
          </cell>
          <cell r="C17" t="str">
            <v>OBS</v>
          </cell>
          <cell r="D17" t="str">
            <v>PCE</v>
          </cell>
          <cell r="E17">
            <v>8</v>
          </cell>
          <cell r="F17">
            <v>5191</v>
          </cell>
          <cell r="G17">
            <v>5199</v>
          </cell>
          <cell r="H17">
            <v>1500</v>
          </cell>
          <cell r="I17">
            <v>7798500</v>
          </cell>
          <cell r="J17" t="str">
            <v>Non</v>
          </cell>
          <cell r="K17" t="str">
            <v>Générique</v>
          </cell>
        </row>
        <row r="18">
          <cell r="A18">
            <v>307</v>
          </cell>
          <cell r="B18" t="str">
            <v>BOITE ATTACHES DE 9</v>
          </cell>
          <cell r="C18" t="str">
            <v>OBS</v>
          </cell>
          <cell r="D18" t="str">
            <v>PCE</v>
          </cell>
          <cell r="E18">
            <v>3</v>
          </cell>
          <cell r="F18">
            <v>27</v>
          </cell>
          <cell r="G18">
            <v>30</v>
          </cell>
          <cell r="H18">
            <v>867</v>
          </cell>
          <cell r="I18">
            <v>26010</v>
          </cell>
          <cell r="J18" t="str">
            <v>Non</v>
          </cell>
          <cell r="K18" t="str">
            <v>Générique</v>
          </cell>
        </row>
        <row r="19">
          <cell r="A19">
            <v>321</v>
          </cell>
          <cell r="B19" t="str">
            <v>CHEVILLE BLEUE DE 8</v>
          </cell>
          <cell r="C19" t="str">
            <v>OBS</v>
          </cell>
          <cell r="D19" t="str">
            <v>PCE</v>
          </cell>
          <cell r="E19">
            <v>7900</v>
          </cell>
          <cell r="G19">
            <v>7900</v>
          </cell>
          <cell r="H19">
            <v>8</v>
          </cell>
          <cell r="I19">
            <v>63200</v>
          </cell>
          <cell r="J19" t="str">
            <v>non</v>
          </cell>
          <cell r="K19" t="str">
            <v>Générique</v>
          </cell>
        </row>
        <row r="20">
          <cell r="A20">
            <v>361</v>
          </cell>
          <cell r="B20" t="str">
            <v>CONJONCTEUR FEMELLE 8 Plots Avec Vis</v>
          </cell>
          <cell r="C20" t="str">
            <v>OBS</v>
          </cell>
          <cell r="D20" t="str">
            <v>PCE</v>
          </cell>
          <cell r="E20">
            <v>17</v>
          </cell>
          <cell r="F20">
            <v>1475</v>
          </cell>
          <cell r="G20">
            <v>1492</v>
          </cell>
          <cell r="H20">
            <v>1274</v>
          </cell>
          <cell r="I20">
            <v>1900808</v>
          </cell>
          <cell r="J20" t="str">
            <v>Non</v>
          </cell>
          <cell r="K20" t="str">
            <v>Générique</v>
          </cell>
        </row>
        <row r="21">
          <cell r="A21">
            <v>368</v>
          </cell>
          <cell r="B21" t="str">
            <v>BOITE DE RACCORDEMENT 7X2</v>
          </cell>
          <cell r="C21" t="str">
            <v>OBS</v>
          </cell>
          <cell r="D21" t="str">
            <v>PCE</v>
          </cell>
          <cell r="F21">
            <v>47</v>
          </cell>
          <cell r="G21">
            <v>47</v>
          </cell>
          <cell r="H21">
            <v>6250</v>
          </cell>
          <cell r="I21">
            <v>293750</v>
          </cell>
          <cell r="J21" t="str">
            <v>Non</v>
          </cell>
          <cell r="K21" t="str">
            <v>Générique</v>
          </cell>
        </row>
        <row r="22">
          <cell r="A22">
            <v>377</v>
          </cell>
          <cell r="B22" t="str">
            <v>BOITE DE RACCORDEMENT 30 PAIRES</v>
          </cell>
          <cell r="C22" t="str">
            <v>OBS</v>
          </cell>
          <cell r="D22" t="str">
            <v>PCE</v>
          </cell>
          <cell r="F22">
            <v>134</v>
          </cell>
          <cell r="G22">
            <v>134</v>
          </cell>
          <cell r="H22">
            <v>19416</v>
          </cell>
          <cell r="I22">
            <v>2601744</v>
          </cell>
          <cell r="J22" t="str">
            <v>Oui</v>
          </cell>
          <cell r="K22" t="str">
            <v>Générique</v>
          </cell>
        </row>
        <row r="23">
          <cell r="A23">
            <v>379</v>
          </cell>
          <cell r="B23" t="str">
            <v>BOITE DE RACCORDEMENT 42X2</v>
          </cell>
          <cell r="C23" t="str">
            <v>OBS</v>
          </cell>
          <cell r="D23" t="str">
            <v>PCE</v>
          </cell>
          <cell r="F23">
            <v>64</v>
          </cell>
          <cell r="G23">
            <v>64</v>
          </cell>
          <cell r="H23">
            <v>29006</v>
          </cell>
          <cell r="I23">
            <v>1856384</v>
          </cell>
          <cell r="J23" t="str">
            <v>Oui</v>
          </cell>
          <cell r="K23" t="str">
            <v>Générique</v>
          </cell>
        </row>
        <row r="24">
          <cell r="A24">
            <v>381</v>
          </cell>
          <cell r="B24" t="str">
            <v>N420.426 Essential-5 Snap-In Connector Cat 5e Screened LSA/110</v>
          </cell>
          <cell r="C24" t="str">
            <v>OBS</v>
          </cell>
          <cell r="D24" t="str">
            <v>PCE</v>
          </cell>
          <cell r="F24">
            <v>321</v>
          </cell>
          <cell r="G24">
            <v>321</v>
          </cell>
          <cell r="H24">
            <v>1575</v>
          </cell>
          <cell r="I24">
            <v>505575</v>
          </cell>
          <cell r="J24" t="str">
            <v>Oui</v>
          </cell>
          <cell r="K24" t="str">
            <v>Nexans</v>
          </cell>
        </row>
        <row r="25">
          <cell r="A25">
            <v>472</v>
          </cell>
          <cell r="B25" t="str">
            <v>VIS A BOIS 4/25</v>
          </cell>
          <cell r="C25" t="str">
            <v>OBS</v>
          </cell>
          <cell r="D25" t="str">
            <v>PCE</v>
          </cell>
          <cell r="E25">
            <v>41</v>
          </cell>
          <cell r="G25">
            <v>41</v>
          </cell>
          <cell r="H25">
            <v>100</v>
          </cell>
          <cell r="I25">
            <v>4100</v>
          </cell>
          <cell r="J25" t="str">
            <v>non</v>
          </cell>
          <cell r="K25" t="str">
            <v>Générique</v>
          </cell>
        </row>
        <row r="26">
          <cell r="A26">
            <v>481</v>
          </cell>
          <cell r="B26" t="str">
            <v>VIS 4 X 40MM</v>
          </cell>
          <cell r="C26" t="str">
            <v>OBS</v>
          </cell>
          <cell r="D26" t="str">
            <v>PCE</v>
          </cell>
          <cell r="E26">
            <v>5000</v>
          </cell>
          <cell r="G26">
            <v>5000</v>
          </cell>
          <cell r="H26">
            <v>57.019937991990702</v>
          </cell>
          <cell r="I26">
            <v>285099.68995995348</v>
          </cell>
          <cell r="J26" t="str">
            <v>Non</v>
          </cell>
          <cell r="K26" t="str">
            <v>Générique</v>
          </cell>
        </row>
        <row r="27">
          <cell r="A27">
            <v>527</v>
          </cell>
          <cell r="B27" t="str">
            <v>N200.116 LANmark EU Style 45 x 45 Surface mount box White</v>
          </cell>
          <cell r="C27" t="str">
            <v>OBS</v>
          </cell>
          <cell r="D27" t="str">
            <v>PCE</v>
          </cell>
          <cell r="E27">
            <v>84</v>
          </cell>
          <cell r="F27">
            <v>1872</v>
          </cell>
          <cell r="G27">
            <v>1956</v>
          </cell>
          <cell r="H27">
            <v>2286.1172336452601</v>
          </cell>
          <cell r="I27">
            <v>4471645.3090101285</v>
          </cell>
          <cell r="J27" t="str">
            <v>Oui</v>
          </cell>
          <cell r="K27" t="str">
            <v>Nexans</v>
          </cell>
        </row>
        <row r="28">
          <cell r="A28">
            <v>540</v>
          </cell>
          <cell r="B28" t="str">
            <v>N500.215 LANmark-5 PCB Patch Panel Screened 24 RJ45 Cat 5e Top Connect White</v>
          </cell>
          <cell r="C28" t="str">
            <v>OBS</v>
          </cell>
          <cell r="D28" t="str">
            <v>PCE</v>
          </cell>
          <cell r="E28">
            <v>1</v>
          </cell>
          <cell r="F28">
            <v>21</v>
          </cell>
          <cell r="G28">
            <v>22</v>
          </cell>
          <cell r="H28">
            <v>48993</v>
          </cell>
          <cell r="I28">
            <v>1077846</v>
          </cell>
          <cell r="J28" t="str">
            <v>Oui</v>
          </cell>
          <cell r="K28" t="str">
            <v>Nexans</v>
          </cell>
        </row>
        <row r="29">
          <cell r="A29">
            <v>1463</v>
          </cell>
          <cell r="B29" t="str">
            <v>EMBOUT POUR GOULOTTE 50X100</v>
          </cell>
          <cell r="C29" t="str">
            <v>OBS</v>
          </cell>
          <cell r="D29" t="str">
            <v>PCE</v>
          </cell>
          <cell r="F29">
            <v>24</v>
          </cell>
          <cell r="G29">
            <v>24</v>
          </cell>
          <cell r="H29">
            <v>888.02372881355905</v>
          </cell>
          <cell r="I29">
            <v>21312.569491525417</v>
          </cell>
          <cell r="J29" t="str">
            <v>Non</v>
          </cell>
          <cell r="K29" t="str">
            <v>Générique</v>
          </cell>
        </row>
        <row r="30">
          <cell r="A30">
            <v>1505</v>
          </cell>
          <cell r="B30" t="str">
            <v>WIC -2T 2-Port Serial WAN Interface Card spare</v>
          </cell>
          <cell r="C30" t="str">
            <v>OBS</v>
          </cell>
          <cell r="D30" t="str">
            <v>PCE</v>
          </cell>
          <cell r="F30">
            <v>6</v>
          </cell>
          <cell r="G30">
            <v>6</v>
          </cell>
          <cell r="H30">
            <v>200437</v>
          </cell>
          <cell r="I30">
            <v>1202622</v>
          </cell>
          <cell r="J30" t="str">
            <v>Oui</v>
          </cell>
          <cell r="K30" t="str">
            <v>Cisco</v>
          </cell>
        </row>
        <row r="31">
          <cell r="A31">
            <v>1509</v>
          </cell>
          <cell r="B31" t="str">
            <v>CAB-SS-449MT RS-449 CABLE DTE Male to Smart Serial 10 Feet</v>
          </cell>
          <cell r="C31" t="str">
            <v>OBS</v>
          </cell>
          <cell r="D31" t="str">
            <v>PCE</v>
          </cell>
          <cell r="F31">
            <v>1</v>
          </cell>
          <cell r="G31">
            <v>1</v>
          </cell>
          <cell r="H31">
            <v>24146</v>
          </cell>
          <cell r="I31">
            <v>24146</v>
          </cell>
          <cell r="J31" t="str">
            <v>Oui</v>
          </cell>
          <cell r="K31" t="str">
            <v>Cisco</v>
          </cell>
        </row>
        <row r="32">
          <cell r="A32">
            <v>1655</v>
          </cell>
          <cell r="B32" t="str">
            <v>COLLIER COLSON 319/16</v>
          </cell>
          <cell r="C32" t="str">
            <v>OBS</v>
          </cell>
          <cell r="D32" t="str">
            <v>PCE</v>
          </cell>
          <cell r="F32">
            <v>100</v>
          </cell>
          <cell r="G32">
            <v>100</v>
          </cell>
          <cell r="H32">
            <v>45</v>
          </cell>
          <cell r="I32">
            <v>4500</v>
          </cell>
          <cell r="J32" t="str">
            <v>Non</v>
          </cell>
          <cell r="K32" t="str">
            <v>Générique</v>
          </cell>
        </row>
        <row r="33">
          <cell r="A33">
            <v>1737</v>
          </cell>
          <cell r="B33" t="str">
            <v>34625-21Duoset H141N/A Monaural</v>
          </cell>
          <cell r="C33" t="str">
            <v>OBS</v>
          </cell>
          <cell r="D33" t="str">
            <v>PCE</v>
          </cell>
          <cell r="F33">
            <v>75</v>
          </cell>
          <cell r="G33">
            <v>75</v>
          </cell>
          <cell r="H33">
            <v>38801</v>
          </cell>
          <cell r="I33">
            <v>2910075</v>
          </cell>
          <cell r="J33" t="str">
            <v>Oui</v>
          </cell>
          <cell r="K33" t="str">
            <v>Générique</v>
          </cell>
        </row>
        <row r="34">
          <cell r="A34">
            <v>1926</v>
          </cell>
          <cell r="B34" t="str">
            <v>POSTE 2930IP 710OB2427</v>
          </cell>
          <cell r="C34" t="str">
            <v>OBS</v>
          </cell>
          <cell r="D34" t="str">
            <v>PCE</v>
          </cell>
          <cell r="E34">
            <v>20</v>
          </cell>
          <cell r="G34">
            <v>20</v>
          </cell>
          <cell r="H34">
            <v>60348</v>
          </cell>
          <cell r="I34">
            <v>1206960</v>
          </cell>
          <cell r="J34" t="str">
            <v>Oui</v>
          </cell>
          <cell r="K34" t="str">
            <v>Alcatel-Lucent</v>
          </cell>
        </row>
        <row r="35">
          <cell r="A35">
            <v>1927</v>
          </cell>
          <cell r="B35" t="str">
            <v>POSTE 2950IP 710OB2428</v>
          </cell>
          <cell r="C35" t="str">
            <v>OBS</v>
          </cell>
          <cell r="D35" t="str">
            <v>PCE</v>
          </cell>
          <cell r="E35">
            <v>15</v>
          </cell>
          <cell r="G35">
            <v>15</v>
          </cell>
          <cell r="H35">
            <v>80027</v>
          </cell>
          <cell r="I35">
            <v>1200405</v>
          </cell>
          <cell r="J35" t="str">
            <v>oui</v>
          </cell>
          <cell r="K35" t="str">
            <v>Alcatel-Lucent</v>
          </cell>
        </row>
        <row r="36">
          <cell r="A36">
            <v>1935</v>
          </cell>
          <cell r="B36" t="str">
            <v>COUPE CIRCUIT</v>
          </cell>
          <cell r="C36" t="str">
            <v>OBS</v>
          </cell>
          <cell r="D36" t="str">
            <v>PCE</v>
          </cell>
          <cell r="F36">
            <v>50</v>
          </cell>
          <cell r="G36">
            <v>50</v>
          </cell>
          <cell r="H36">
            <v>1500</v>
          </cell>
          <cell r="I36">
            <v>75000</v>
          </cell>
          <cell r="J36" t="str">
            <v>Non</v>
          </cell>
          <cell r="K36" t="str">
            <v>Générique</v>
          </cell>
        </row>
        <row r="37">
          <cell r="A37">
            <v>1948</v>
          </cell>
          <cell r="B37" t="str">
            <v xml:space="preserve">3BA23259AA CARTE CPU7 </v>
          </cell>
          <cell r="C37" t="str">
            <v>OBS</v>
          </cell>
          <cell r="D37" t="str">
            <v>PCE</v>
          </cell>
          <cell r="F37">
            <v>3</v>
          </cell>
          <cell r="G37">
            <v>3</v>
          </cell>
          <cell r="H37">
            <v>968265</v>
          </cell>
          <cell r="I37">
            <v>2904795</v>
          </cell>
          <cell r="J37" t="str">
            <v>Oui</v>
          </cell>
          <cell r="K37" t="str">
            <v>Alcatel-Lucent</v>
          </cell>
        </row>
        <row r="38">
          <cell r="A38">
            <v>1949</v>
          </cell>
          <cell r="B38" t="str">
            <v xml:space="preserve">3BA23260AA Carte INTOF2 : Carte inter-Crystal </v>
          </cell>
          <cell r="C38" t="str">
            <v>OBS</v>
          </cell>
          <cell r="D38" t="str">
            <v>PCE</v>
          </cell>
          <cell r="E38">
            <v>3</v>
          </cell>
          <cell r="G38">
            <v>3</v>
          </cell>
          <cell r="H38">
            <v>281274</v>
          </cell>
          <cell r="I38">
            <v>843822</v>
          </cell>
          <cell r="J38" t="str">
            <v>Oui</v>
          </cell>
          <cell r="K38" t="str">
            <v>Alcatel-Lucent</v>
          </cell>
        </row>
        <row r="39">
          <cell r="A39">
            <v>1952</v>
          </cell>
          <cell r="B39" t="str">
            <v>COLLIER COLRING 31829</v>
          </cell>
          <cell r="C39" t="str">
            <v>OBS</v>
          </cell>
          <cell r="D39" t="str">
            <v>PCE</v>
          </cell>
          <cell r="E39">
            <v>17</v>
          </cell>
          <cell r="G39">
            <v>17</v>
          </cell>
          <cell r="H39">
            <v>33.124880217620799</v>
          </cell>
          <cell r="I39">
            <v>563.12296369955357</v>
          </cell>
          <cell r="J39" t="str">
            <v>Non</v>
          </cell>
          <cell r="K39" t="str">
            <v>Générique</v>
          </cell>
        </row>
        <row r="40">
          <cell r="A40">
            <v>1963</v>
          </cell>
          <cell r="B40" t="str">
            <v>CABLE 56X2 NON ARME CAT 5</v>
          </cell>
          <cell r="C40" t="str">
            <v>OBS</v>
          </cell>
          <cell r="D40" t="str">
            <v>PCE</v>
          </cell>
          <cell r="F40">
            <v>2267</v>
          </cell>
          <cell r="G40">
            <v>2267</v>
          </cell>
          <cell r="H40">
            <v>1415</v>
          </cell>
          <cell r="I40">
            <v>3207805</v>
          </cell>
          <cell r="J40" t="str">
            <v>Non</v>
          </cell>
          <cell r="K40" t="str">
            <v>Générique</v>
          </cell>
        </row>
        <row r="41">
          <cell r="A41">
            <v>1965</v>
          </cell>
          <cell r="B41" t="str">
            <v xml:space="preserve">3EH73048BB Carte CPU du Communication Server avec SDRAM 256Mo (carte CS) </v>
          </cell>
          <cell r="C41" t="str">
            <v>OBS</v>
          </cell>
          <cell r="D41" t="str">
            <v>PCE</v>
          </cell>
          <cell r="F41">
            <v>13</v>
          </cell>
          <cell r="G41">
            <v>13</v>
          </cell>
          <cell r="H41">
            <v>556820</v>
          </cell>
          <cell r="I41">
            <v>7238660</v>
          </cell>
          <cell r="J41" t="str">
            <v>Oui</v>
          </cell>
          <cell r="K41" t="str">
            <v>Alcatel-Lucent</v>
          </cell>
        </row>
        <row r="42">
          <cell r="A42">
            <v>1967</v>
          </cell>
          <cell r="B42" t="str">
            <v xml:space="preserve">3EH73063AF Carte fille VoIP8-2 : 8 canaux IP </v>
          </cell>
          <cell r="C42" t="str">
            <v>OBS</v>
          </cell>
          <cell r="D42" t="str">
            <v>PCE</v>
          </cell>
          <cell r="E42">
            <v>1</v>
          </cell>
          <cell r="F42">
            <v>5</v>
          </cell>
          <cell r="G42">
            <v>6</v>
          </cell>
          <cell r="H42">
            <v>83238</v>
          </cell>
          <cell r="I42">
            <v>499428</v>
          </cell>
          <cell r="J42" t="str">
            <v>Oui</v>
          </cell>
          <cell r="K42" t="str">
            <v>Alcatel-Lucent</v>
          </cell>
        </row>
        <row r="43">
          <cell r="A43">
            <v>1968</v>
          </cell>
          <cell r="B43" t="str">
            <v xml:space="preserve">3EH73048BD Carte CPU applicative (carte GA-2)  </v>
          </cell>
          <cell r="C43" t="str">
            <v>OBS</v>
          </cell>
          <cell r="D43" t="str">
            <v>PCE</v>
          </cell>
          <cell r="E43">
            <v>1</v>
          </cell>
          <cell r="F43">
            <v>1</v>
          </cell>
          <cell r="G43">
            <v>2</v>
          </cell>
          <cell r="H43">
            <v>185070</v>
          </cell>
          <cell r="I43">
            <v>370140</v>
          </cell>
          <cell r="J43" t="str">
            <v>Oui</v>
          </cell>
          <cell r="K43" t="str">
            <v>Alcatel-Lucent</v>
          </cell>
        </row>
        <row r="44">
          <cell r="A44">
            <v>1974</v>
          </cell>
          <cell r="B44" t="str">
            <v>3BA00406AV Module rack3¿ avec alimentation secteur 48V</v>
          </cell>
          <cell r="C44" t="str">
            <v>OBS</v>
          </cell>
          <cell r="D44" t="str">
            <v>PCE</v>
          </cell>
          <cell r="E44">
            <v>2</v>
          </cell>
          <cell r="F44">
            <v>22</v>
          </cell>
          <cell r="G44">
            <v>24</v>
          </cell>
          <cell r="H44">
            <v>539109.19306666602</v>
          </cell>
          <cell r="I44">
            <v>12938620.633599985</v>
          </cell>
          <cell r="J44" t="str">
            <v>Oui</v>
          </cell>
          <cell r="K44" t="str">
            <v>Alcatel-Lucent</v>
          </cell>
        </row>
        <row r="45">
          <cell r="A45">
            <v>1978</v>
          </cell>
          <cell r="B45" t="str">
            <v>CABLE INFORMATIQUE FTP 2X4 CAT 6 </v>
          </cell>
          <cell r="C45" t="str">
            <v>OBS</v>
          </cell>
          <cell r="D45" t="str">
            <v>PCE</v>
          </cell>
          <cell r="F45">
            <v>3415</v>
          </cell>
          <cell r="G45">
            <v>3415</v>
          </cell>
          <cell r="H45">
            <v>319</v>
          </cell>
          <cell r="I45">
            <v>1089385</v>
          </cell>
          <cell r="J45" t="str">
            <v>Non</v>
          </cell>
          <cell r="K45" t="str">
            <v>Générique</v>
          </cell>
        </row>
        <row r="46">
          <cell r="A46">
            <v>2010</v>
          </cell>
          <cell r="B46" t="str">
            <v>L30251-U600-G400/HiPath 1120 V7 Box with 220V PSU, IM Basic System: 2×HKZ, 8×a/b (4 a/b + 4 a/b/c/d)</v>
          </cell>
          <cell r="C46" t="str">
            <v>OBS</v>
          </cell>
          <cell r="D46" t="str">
            <v>PCE</v>
          </cell>
          <cell r="F46">
            <v>3</v>
          </cell>
          <cell r="G46">
            <v>3</v>
          </cell>
          <cell r="H46">
            <v>94537</v>
          </cell>
          <cell r="I46">
            <v>283611</v>
          </cell>
          <cell r="J46" t="str">
            <v>Oui</v>
          </cell>
          <cell r="K46" t="str">
            <v>Générique</v>
          </cell>
        </row>
        <row r="47">
          <cell r="A47">
            <v>2018</v>
          </cell>
          <cell r="B47" t="str">
            <v>N102.117 Covered Patch Guide White</v>
          </cell>
          <cell r="C47" t="str">
            <v>OBS</v>
          </cell>
          <cell r="D47" t="str">
            <v>PCE</v>
          </cell>
          <cell r="E47">
            <v>20</v>
          </cell>
          <cell r="F47">
            <v>312</v>
          </cell>
          <cell r="G47">
            <v>332</v>
          </cell>
          <cell r="H47">
            <v>13390.419694488401</v>
          </cell>
          <cell r="I47">
            <v>4445619.3385701487</v>
          </cell>
          <cell r="J47" t="str">
            <v>Oui</v>
          </cell>
          <cell r="K47" t="str">
            <v>Nexans</v>
          </cell>
        </row>
        <row r="48">
          <cell r="A48">
            <v>2025</v>
          </cell>
          <cell r="B48" t="str">
            <v>3BN67336AA 8232 DECT DESKTOP CHARGER PSU WW</v>
          </cell>
          <cell r="C48" t="str">
            <v>OBS</v>
          </cell>
          <cell r="D48" t="str">
            <v>PCE</v>
          </cell>
          <cell r="E48">
            <v>3</v>
          </cell>
          <cell r="G48">
            <v>3</v>
          </cell>
          <cell r="H48">
            <v>12107.5</v>
          </cell>
          <cell r="I48">
            <v>36322.5</v>
          </cell>
          <cell r="J48" t="str">
            <v>Oui</v>
          </cell>
          <cell r="K48" t="str">
            <v>Alcatel-Lucent</v>
          </cell>
        </row>
        <row r="49">
          <cell r="A49">
            <v>2026</v>
          </cell>
          <cell r="B49" t="str">
            <v>OS2260-P24-EU WebSmart+ 24p PoE+ Gig - EU cord</v>
          </cell>
          <cell r="C49" t="str">
            <v>OBS</v>
          </cell>
          <cell r="D49" t="str">
            <v>PCE</v>
          </cell>
          <cell r="E49">
            <v>5</v>
          </cell>
          <cell r="F49">
            <v>2</v>
          </cell>
          <cell r="G49">
            <v>7</v>
          </cell>
          <cell r="H49">
            <v>300348.82659807801</v>
          </cell>
          <cell r="I49">
            <v>2102441.7861865461</v>
          </cell>
          <cell r="J49" t="str">
            <v>Oui</v>
          </cell>
          <cell r="K49" t="str">
            <v>Alcatel-Lucent</v>
          </cell>
        </row>
        <row r="50">
          <cell r="A50">
            <v>2031</v>
          </cell>
          <cell r="B50" t="str">
            <v>Essential-5 Patch Cord Cat 5e Unscreened PVC Light Grey Boot 3m Light Grey</v>
          </cell>
          <cell r="C50" t="str">
            <v>OBS</v>
          </cell>
          <cell r="D50" t="str">
            <v>PCE</v>
          </cell>
          <cell r="E50">
            <v>9</v>
          </cell>
          <cell r="F50">
            <v>250</v>
          </cell>
          <cell r="G50">
            <v>259</v>
          </cell>
          <cell r="H50">
            <v>1102</v>
          </cell>
          <cell r="I50">
            <v>285418</v>
          </cell>
          <cell r="J50" t="str">
            <v>Oui</v>
          </cell>
          <cell r="K50" t="str">
            <v>Nexans</v>
          </cell>
        </row>
        <row r="51">
          <cell r="A51">
            <v>2042</v>
          </cell>
          <cell r="B51" t="str">
            <v>Porte étiquette 8 paires</v>
          </cell>
          <cell r="C51" t="str">
            <v>OBS</v>
          </cell>
          <cell r="D51" t="str">
            <v>PCE</v>
          </cell>
          <cell r="F51">
            <v>175</v>
          </cell>
          <cell r="G51">
            <v>175</v>
          </cell>
          <cell r="H51">
            <v>1046</v>
          </cell>
          <cell r="I51">
            <v>183050</v>
          </cell>
          <cell r="J51" t="str">
            <v>Oui</v>
          </cell>
          <cell r="K51" t="str">
            <v>Générique</v>
          </cell>
        </row>
        <row r="52">
          <cell r="A52">
            <v>2048</v>
          </cell>
          <cell r="B52" t="str">
            <v>3BA27119AA ACT14 mounting kit for installation in data cabinet</v>
          </cell>
          <cell r="C52" t="str">
            <v>OBS</v>
          </cell>
          <cell r="D52" t="str">
            <v>PCE</v>
          </cell>
          <cell r="F52">
            <v>1</v>
          </cell>
          <cell r="G52">
            <v>1</v>
          </cell>
          <cell r="H52">
            <v>57462</v>
          </cell>
          <cell r="I52">
            <v>57462</v>
          </cell>
          <cell r="J52" t="str">
            <v>Oui</v>
          </cell>
          <cell r="K52" t="str">
            <v>Alcatel-Lucent</v>
          </cell>
        </row>
        <row r="53">
          <cell r="A53">
            <v>2057</v>
          </cell>
          <cell r="B53" t="str">
            <v>3BA00760AA INT-IP3 60 PACK</v>
          </cell>
          <cell r="C53" t="str">
            <v>OBS</v>
          </cell>
          <cell r="D53" t="str">
            <v>PCE</v>
          </cell>
          <cell r="F53">
            <v>10</v>
          </cell>
          <cell r="G53">
            <v>10</v>
          </cell>
          <cell r="H53">
            <v>109413.62760000001</v>
          </cell>
          <cell r="I53">
            <v>1094136.2760000001</v>
          </cell>
          <cell r="J53" t="str">
            <v>OUI</v>
          </cell>
          <cell r="K53" t="str">
            <v>Alcatel-Lucent</v>
          </cell>
        </row>
        <row r="54">
          <cell r="A54">
            <v>2082</v>
          </cell>
          <cell r="B54" t="str">
            <v>VWIC2-2MFT-T1/E1 2-Port 2nd Gen Multiflex Trunk Voice/WAN Int. Card - T1/E1</v>
          </cell>
          <cell r="C54" t="str">
            <v>OBS</v>
          </cell>
          <cell r="D54" t="str">
            <v>PCE</v>
          </cell>
          <cell r="F54">
            <v>1</v>
          </cell>
          <cell r="G54">
            <v>1</v>
          </cell>
          <cell r="H54">
            <v>408147</v>
          </cell>
          <cell r="I54">
            <v>408147</v>
          </cell>
          <cell r="J54" t="str">
            <v>Oui</v>
          </cell>
          <cell r="K54" t="str">
            <v>Cisco</v>
          </cell>
        </row>
        <row r="55">
          <cell r="A55">
            <v>2087</v>
          </cell>
          <cell r="B55" t="str">
            <v>3ML27310AA ALE-300 IP DESKPHONE W CORDED HANDSET</v>
          </cell>
          <cell r="C55" t="str">
            <v>OBS</v>
          </cell>
          <cell r="D55" t="str">
            <v>PCE</v>
          </cell>
          <cell r="E55">
            <v>22</v>
          </cell>
          <cell r="F55">
            <v>278</v>
          </cell>
          <cell r="G55">
            <v>300</v>
          </cell>
          <cell r="H55">
            <v>107857.72436054199</v>
          </cell>
          <cell r="I55">
            <v>32357317.3081626</v>
          </cell>
          <cell r="J55" t="str">
            <v>Oui</v>
          </cell>
          <cell r="K55" t="str">
            <v>Alcatel-Lucent</v>
          </cell>
        </row>
        <row r="56">
          <cell r="A56">
            <v>2091</v>
          </cell>
          <cell r="B56" t="str">
            <v>HWIC-1T= -Port Serial WAN Interface Card</v>
          </cell>
          <cell r="C56" t="str">
            <v>OBS</v>
          </cell>
          <cell r="D56" t="str">
            <v>PCE</v>
          </cell>
          <cell r="E56">
            <v>1</v>
          </cell>
          <cell r="G56">
            <v>1</v>
          </cell>
          <cell r="H56">
            <v>86825</v>
          </cell>
          <cell r="I56">
            <v>86825</v>
          </cell>
          <cell r="J56" t="str">
            <v>Oui</v>
          </cell>
          <cell r="K56" t="str">
            <v>Cisco</v>
          </cell>
        </row>
        <row r="57">
          <cell r="A57">
            <v>2096</v>
          </cell>
          <cell r="B57" t="str">
            <v>VIC2-2BRI-NT/TE= Two-port Voice Interface Card - BRI (NT and TE)</v>
          </cell>
          <cell r="C57" t="str">
            <v>OBS</v>
          </cell>
          <cell r="D57" t="str">
            <v>PCE</v>
          </cell>
          <cell r="E57">
            <v>2</v>
          </cell>
          <cell r="G57">
            <v>2</v>
          </cell>
          <cell r="H57">
            <v>419026</v>
          </cell>
          <cell r="I57">
            <v>838052</v>
          </cell>
          <cell r="J57" t="str">
            <v>Oui</v>
          </cell>
          <cell r="K57" t="str">
            <v>Cisco</v>
          </cell>
        </row>
        <row r="58">
          <cell r="A58">
            <v>2103</v>
          </cell>
          <cell r="B58" t="str">
            <v>RAIL OMEGA</v>
          </cell>
          <cell r="C58" t="str">
            <v>OBS</v>
          </cell>
          <cell r="D58" t="str">
            <v>PCE</v>
          </cell>
          <cell r="F58">
            <v>43</v>
          </cell>
          <cell r="G58">
            <v>43</v>
          </cell>
          <cell r="H58">
            <v>2826</v>
          </cell>
          <cell r="I58">
            <v>121518</v>
          </cell>
          <cell r="J58" t="str">
            <v>Non</v>
          </cell>
          <cell r="K58" t="str">
            <v>Générique</v>
          </cell>
        </row>
        <row r="59">
          <cell r="A59">
            <v>2105</v>
          </cell>
          <cell r="B59" t="str">
            <v>3EH76156AA BATTERIE 12V/7AH</v>
          </cell>
          <cell r="C59" t="str">
            <v>OBS</v>
          </cell>
          <cell r="D59" t="str">
            <v>PCE</v>
          </cell>
          <cell r="E59">
            <v>5</v>
          </cell>
          <cell r="F59">
            <v>23</v>
          </cell>
          <cell r="G59">
            <v>28</v>
          </cell>
          <cell r="H59">
            <v>17694.440074999999</v>
          </cell>
          <cell r="I59">
            <v>495444.32209999999</v>
          </cell>
          <cell r="J59" t="str">
            <v>Oui</v>
          </cell>
          <cell r="K59" t="str">
            <v>Alcatel-Lucent</v>
          </cell>
        </row>
        <row r="60">
          <cell r="A60">
            <v>2111</v>
          </cell>
          <cell r="B60" t="str">
            <v>3BN67335AA 8232 DECT Desktop charger PSU Europe</v>
          </cell>
          <cell r="C60" t="str">
            <v>OBS</v>
          </cell>
          <cell r="D60" t="str">
            <v>PCE</v>
          </cell>
          <cell r="F60">
            <v>9</v>
          </cell>
          <cell r="G60">
            <v>9</v>
          </cell>
          <cell r="H60">
            <v>4680.2531950000002</v>
          </cell>
          <cell r="I60">
            <v>42122.278754999999</v>
          </cell>
          <cell r="J60" t="str">
            <v>Oui</v>
          </cell>
          <cell r="K60" t="str">
            <v>Alcatel-Lucent</v>
          </cell>
        </row>
        <row r="61">
          <cell r="A61">
            <v>2112</v>
          </cell>
          <cell r="B61" t="str">
            <v>POSTE TEMPORIS GRAPHITE T170 REF: ATL/D 1614217</v>
          </cell>
          <cell r="C61" t="str">
            <v>OBS</v>
          </cell>
          <cell r="D61" t="str">
            <v>PCE</v>
          </cell>
          <cell r="F61">
            <v>5</v>
          </cell>
          <cell r="G61">
            <v>5</v>
          </cell>
          <cell r="H61">
            <v>6558</v>
          </cell>
          <cell r="I61">
            <v>32790</v>
          </cell>
          <cell r="J61" t="str">
            <v>Oui</v>
          </cell>
          <cell r="K61" t="str">
            <v>Générique</v>
          </cell>
        </row>
        <row r="62">
          <cell r="A62">
            <v>2120</v>
          </cell>
          <cell r="B62" t="str">
            <v>Filin de tirage monoline 2 mm (couronne de 1000 m)</v>
          </cell>
          <cell r="C62" t="str">
            <v>OBS</v>
          </cell>
          <cell r="D62" t="str">
            <v>PCE</v>
          </cell>
          <cell r="F62">
            <v>900</v>
          </cell>
          <cell r="G62">
            <v>900</v>
          </cell>
          <cell r="H62">
            <v>200</v>
          </cell>
          <cell r="I62">
            <v>180000</v>
          </cell>
          <cell r="J62" t="str">
            <v>Non</v>
          </cell>
          <cell r="K62" t="str">
            <v>Générique</v>
          </cell>
        </row>
        <row r="63">
          <cell r="A63">
            <v>2121</v>
          </cell>
          <cell r="B63" t="str">
            <v>3EH77084AE GATEWAY DRIVER BOARD (GD-3)</v>
          </cell>
          <cell r="C63" t="str">
            <v>OBS</v>
          </cell>
          <cell r="D63" t="str">
            <v>PCE</v>
          </cell>
          <cell r="E63">
            <v>3</v>
          </cell>
          <cell r="F63">
            <v>13</v>
          </cell>
          <cell r="G63">
            <v>16</v>
          </cell>
          <cell r="H63">
            <v>524791.83828000003</v>
          </cell>
          <cell r="I63">
            <v>8396669.4124800004</v>
          </cell>
          <cell r="J63" t="str">
            <v>oui</v>
          </cell>
          <cell r="K63" t="str">
            <v>Alcatel-Lucent</v>
          </cell>
        </row>
        <row r="64">
          <cell r="A64">
            <v>2127</v>
          </cell>
          <cell r="B64" t="str">
            <v>N423.520 LANmark EU Style Angled 45 x 45 Module 1 Snap-In White</v>
          </cell>
          <cell r="C64" t="str">
            <v>OBS</v>
          </cell>
          <cell r="D64" t="str">
            <v>PCE</v>
          </cell>
          <cell r="F64">
            <v>49</v>
          </cell>
          <cell r="G64">
            <v>49</v>
          </cell>
          <cell r="H64">
            <v>1271.3400547276599</v>
          </cell>
          <cell r="I64">
            <v>62295.662681655333</v>
          </cell>
          <cell r="J64" t="str">
            <v>Oui</v>
          </cell>
          <cell r="K64" t="str">
            <v>Nexans</v>
          </cell>
        </row>
        <row r="65">
          <cell r="A65">
            <v>2129</v>
          </cell>
          <cell r="B65" t="str">
            <v>3EH73006AB ISDN ACCESS T0 BRA8 BOARD</v>
          </cell>
          <cell r="C65" t="str">
            <v>OBS</v>
          </cell>
          <cell r="D65" t="str">
            <v>PCE</v>
          </cell>
          <cell r="E65">
            <v>3</v>
          </cell>
          <cell r="F65">
            <v>42</v>
          </cell>
          <cell r="G65">
            <v>45</v>
          </cell>
          <cell r="H65">
            <v>172390.92507417599</v>
          </cell>
          <cell r="I65">
            <v>7757591.6283379197</v>
          </cell>
          <cell r="J65" t="str">
            <v>Oui</v>
          </cell>
          <cell r="K65" t="str">
            <v>Alcatel-Lucent</v>
          </cell>
        </row>
        <row r="66">
          <cell r="A66">
            <v>2132</v>
          </cell>
          <cell r="B66" t="str">
            <v>3GV27015AB Module d¿interfaces V24 et CTI pour les postes Alcatel-Lucent Digital - compatible avec la gamme Reflexes¿ - Cable RJ11/RJ11 3M - Cable 3m SubD9 mâle/SubD9 femelle</v>
          </cell>
          <cell r="C66" t="str">
            <v>OBS</v>
          </cell>
          <cell r="D66" t="str">
            <v>PCE</v>
          </cell>
          <cell r="E66">
            <v>2</v>
          </cell>
          <cell r="F66">
            <v>13</v>
          </cell>
          <cell r="G66">
            <v>15</v>
          </cell>
          <cell r="H66">
            <v>94190</v>
          </cell>
          <cell r="I66">
            <v>1412850</v>
          </cell>
          <cell r="J66" t="str">
            <v>Oui</v>
          </cell>
          <cell r="K66" t="str">
            <v>Alcatel-Lucent</v>
          </cell>
        </row>
        <row r="67">
          <cell r="A67">
            <v>2133</v>
          </cell>
          <cell r="B67" t="str">
            <v>N100.451 Essential - 5 F/UTP AWG24 Category 5e LSZH Orange</v>
          </cell>
          <cell r="C67" t="str">
            <v>OBS</v>
          </cell>
          <cell r="D67" t="str">
            <v>PCE</v>
          </cell>
          <cell r="F67">
            <v>74</v>
          </cell>
          <cell r="G67">
            <v>74</v>
          </cell>
          <cell r="H67">
            <v>223</v>
          </cell>
          <cell r="I67">
            <v>16502</v>
          </cell>
          <cell r="J67" t="str">
            <v>Oui</v>
          </cell>
          <cell r="K67" t="str">
            <v>Nexans</v>
          </cell>
        </row>
        <row r="68">
          <cell r="A68">
            <v>2137</v>
          </cell>
          <cell r="B68" t="str">
            <v>Poste analogique de base</v>
          </cell>
          <cell r="C68" t="str">
            <v>OBS</v>
          </cell>
          <cell r="D68" t="str">
            <v>PCE</v>
          </cell>
          <cell r="E68">
            <v>32</v>
          </cell>
          <cell r="F68">
            <v>131</v>
          </cell>
          <cell r="G68">
            <v>163</v>
          </cell>
          <cell r="H68">
            <v>7112.0652090908998</v>
          </cell>
          <cell r="I68">
            <v>1159266.6290818166</v>
          </cell>
          <cell r="J68" t="str">
            <v>Oui</v>
          </cell>
          <cell r="K68" t="str">
            <v>Générique</v>
          </cell>
        </row>
        <row r="69">
          <cell r="A69">
            <v>2140</v>
          </cell>
          <cell r="B69" t="str">
            <v xml:space="preserve">3BN67318AA Simple chargeur livré sans alimentation pour mobile Alcatel-Lucent DECT 300&amp;400  </v>
          </cell>
          <cell r="C69" t="str">
            <v>OBS</v>
          </cell>
          <cell r="D69" t="str">
            <v>PCE</v>
          </cell>
          <cell r="F69">
            <v>2</v>
          </cell>
          <cell r="G69">
            <v>2</v>
          </cell>
          <cell r="H69">
            <v>15605</v>
          </cell>
          <cell r="I69">
            <v>31210</v>
          </cell>
          <cell r="J69" t="str">
            <v>Oui</v>
          </cell>
          <cell r="K69" t="str">
            <v>Alcatel-Lucent</v>
          </cell>
        </row>
        <row r="70">
          <cell r="A70">
            <v>2141</v>
          </cell>
          <cell r="B70" t="str">
            <v xml:space="preserve">3BN67307AB Alimentation type Europe pour simple chargeur dédiée mobiles Alcatel-Lucent DECT 300&amp;400  </v>
          </cell>
          <cell r="C70" t="str">
            <v>OBS</v>
          </cell>
          <cell r="D70" t="str">
            <v>PCE</v>
          </cell>
          <cell r="F70">
            <v>3</v>
          </cell>
          <cell r="G70">
            <v>3</v>
          </cell>
          <cell r="H70">
            <v>10704</v>
          </cell>
          <cell r="I70">
            <v>32112</v>
          </cell>
          <cell r="J70" t="str">
            <v>Oui</v>
          </cell>
          <cell r="K70" t="str">
            <v>Alcatel-Lucent</v>
          </cell>
        </row>
        <row r="71">
          <cell r="A71">
            <v>2142</v>
          </cell>
          <cell r="B71" t="str">
            <v xml:space="preserve">3BN67301AA Pack terminal Alcatel-Lucent DECT 300 incluant mobile¿ batterie¿ clip ceinture &amp; guide utilisateur (livré sans chargeur¿ sans alimentation)  </v>
          </cell>
          <cell r="C71" t="str">
            <v>OBS</v>
          </cell>
          <cell r="D71" t="str">
            <v>PCE</v>
          </cell>
          <cell r="F71">
            <v>20</v>
          </cell>
          <cell r="G71">
            <v>20</v>
          </cell>
          <cell r="H71">
            <v>48416.186170000001</v>
          </cell>
          <cell r="I71">
            <v>968323.72340000002</v>
          </cell>
          <cell r="J71" t="str">
            <v>oui</v>
          </cell>
          <cell r="K71" t="str">
            <v>Alcatel-Lucent</v>
          </cell>
        </row>
        <row r="72">
          <cell r="A72">
            <v>2144</v>
          </cell>
          <cell r="B72" t="str">
            <v>3MG08010CE 8008 CLOUD EDITION DESKPHONE</v>
          </cell>
          <cell r="C72" t="str">
            <v>OBS</v>
          </cell>
          <cell r="D72" t="str">
            <v>PCE</v>
          </cell>
          <cell r="E72">
            <v>12</v>
          </cell>
          <cell r="G72">
            <v>12</v>
          </cell>
          <cell r="H72">
            <v>46179.372799999997</v>
          </cell>
          <cell r="I72">
            <v>554152.47359999991</v>
          </cell>
          <cell r="J72" t="str">
            <v>Oui</v>
          </cell>
          <cell r="K72" t="str">
            <v>Alcatel-Lucent</v>
          </cell>
        </row>
        <row r="73">
          <cell r="A73">
            <v>2150</v>
          </cell>
          <cell r="B73" t="str">
            <v>3BN67380AA 8244 DECT HANDSET</v>
          </cell>
          <cell r="C73" t="str">
            <v>OBS</v>
          </cell>
          <cell r="D73" t="str">
            <v>PCE</v>
          </cell>
          <cell r="F73">
            <v>6</v>
          </cell>
          <cell r="G73">
            <v>6</v>
          </cell>
          <cell r="H73">
            <v>98458.0524</v>
          </cell>
          <cell r="I73">
            <v>590748.31440000003</v>
          </cell>
          <cell r="J73" t="str">
            <v>Oui</v>
          </cell>
          <cell r="K73" t="str">
            <v>Alcatel-Lucent</v>
          </cell>
        </row>
        <row r="74">
          <cell r="A74">
            <v>2151</v>
          </cell>
          <cell r="B74" t="str">
            <v>3MG27006AA 48V POWER SUPPLY EUROPE (x4)</v>
          </cell>
          <cell r="C74" t="str">
            <v>OBS</v>
          </cell>
          <cell r="D74" t="str">
            <v>PCE</v>
          </cell>
          <cell r="E74">
            <v>10</v>
          </cell>
          <cell r="F74">
            <v>74</v>
          </cell>
          <cell r="G74">
            <v>84</v>
          </cell>
          <cell r="H74">
            <v>9806.5361691159596</v>
          </cell>
          <cell r="I74">
            <v>823749.03820574062</v>
          </cell>
          <cell r="J74" t="str">
            <v>Oui</v>
          </cell>
          <cell r="K74" t="str">
            <v>Alcatel-Lucent</v>
          </cell>
        </row>
        <row r="75">
          <cell r="A75">
            <v>2154</v>
          </cell>
          <cell r="B75" t="str">
            <v>CISCO887-K9 Cisco 887 ADSL2/2+ Annex A Router</v>
          </cell>
          <cell r="C75" t="str">
            <v>OBS</v>
          </cell>
          <cell r="D75" t="str">
            <v>PCE</v>
          </cell>
          <cell r="F75">
            <v>4</v>
          </cell>
          <cell r="G75">
            <v>4</v>
          </cell>
          <cell r="H75">
            <v>266716</v>
          </cell>
          <cell r="I75">
            <v>1066864</v>
          </cell>
          <cell r="J75" t="str">
            <v>Oui</v>
          </cell>
          <cell r="K75" t="str">
            <v>Cisco</v>
          </cell>
        </row>
        <row r="76">
          <cell r="A76">
            <v>2155</v>
          </cell>
          <cell r="B76" t="str">
            <v>TP-LINK TL-SG2008P TL-SG2008PSmart Switch JetStream 8 ports Gigabit avec 4 ports PoE+</v>
          </cell>
          <cell r="C76" t="str">
            <v>OBS</v>
          </cell>
          <cell r="D76" t="str">
            <v>PCE</v>
          </cell>
          <cell r="E76">
            <v>16</v>
          </cell>
          <cell r="G76">
            <v>16</v>
          </cell>
          <cell r="H76">
            <v>56895</v>
          </cell>
          <cell r="I76">
            <v>910320</v>
          </cell>
          <cell r="J76" t="str">
            <v>Oui</v>
          </cell>
          <cell r="K76" t="str">
            <v>Générique</v>
          </cell>
        </row>
        <row r="77">
          <cell r="A77">
            <v>2161</v>
          </cell>
          <cell r="B77" t="str">
            <v>Goulotte de sol LEGRAND 50X12</v>
          </cell>
          <cell r="C77" t="str">
            <v>OBS</v>
          </cell>
          <cell r="D77" t="str">
            <v>PCE</v>
          </cell>
          <cell r="E77">
            <v>7</v>
          </cell>
          <cell r="F77">
            <v>90</v>
          </cell>
          <cell r="G77">
            <v>97</v>
          </cell>
          <cell r="H77">
            <v>9365.9580122242805</v>
          </cell>
          <cell r="I77">
            <v>908497.92718575522</v>
          </cell>
          <cell r="J77" t="str">
            <v>Non</v>
          </cell>
          <cell r="K77" t="str">
            <v>Générique</v>
          </cell>
        </row>
        <row r="78">
          <cell r="A78">
            <v>2170</v>
          </cell>
          <cell r="B78" t="str">
            <v>CABLE 56X2 ARME</v>
          </cell>
          <cell r="C78" t="str">
            <v>OBS</v>
          </cell>
          <cell r="D78" t="str">
            <v>PCE</v>
          </cell>
          <cell r="F78">
            <v>56</v>
          </cell>
          <cell r="G78">
            <v>56</v>
          </cell>
          <cell r="H78">
            <v>2653</v>
          </cell>
          <cell r="I78">
            <v>148568</v>
          </cell>
          <cell r="J78" t="str">
            <v>Non</v>
          </cell>
          <cell r="K78" t="str">
            <v>Générique</v>
          </cell>
        </row>
        <row r="79">
          <cell r="A79">
            <v>2205</v>
          </cell>
          <cell r="B79" t="str">
            <v>BOITE DE RACCORDEMENT 22X2</v>
          </cell>
          <cell r="C79" t="str">
            <v>OBS</v>
          </cell>
          <cell r="D79" t="str">
            <v>PCE</v>
          </cell>
          <cell r="F79">
            <v>396</v>
          </cell>
          <cell r="G79">
            <v>396</v>
          </cell>
          <cell r="H79">
            <v>15218</v>
          </cell>
          <cell r="I79">
            <v>6026328</v>
          </cell>
          <cell r="J79" t="str">
            <v>Non</v>
          </cell>
          <cell r="K79" t="str">
            <v>Générique</v>
          </cell>
        </row>
        <row r="80">
          <cell r="A80">
            <v>2208</v>
          </cell>
          <cell r="B80" t="str">
            <v>CABLE 10X2</v>
          </cell>
          <cell r="C80" t="str">
            <v>OBS</v>
          </cell>
          <cell r="D80" t="str">
            <v>M</v>
          </cell>
          <cell r="F80">
            <v>114</v>
          </cell>
          <cell r="G80">
            <v>114</v>
          </cell>
          <cell r="H80">
            <v>708</v>
          </cell>
          <cell r="I80">
            <v>80712</v>
          </cell>
          <cell r="J80" t="str">
            <v>Non</v>
          </cell>
          <cell r="K80" t="str">
            <v>Générique</v>
          </cell>
        </row>
        <row r="81">
          <cell r="A81">
            <v>2212</v>
          </cell>
          <cell r="B81" t="str">
            <v>3EH73061AC Carte mixte analogique AMIX4/4/8-1 avec 4 lignes réseau analogiques¿ 4 ports Reflexes et 8 ports postes analogiques</v>
          </cell>
          <cell r="C81" t="str">
            <v>OBS</v>
          </cell>
          <cell r="D81" t="str">
            <v>PCE</v>
          </cell>
          <cell r="E81">
            <v>2</v>
          </cell>
          <cell r="G81">
            <v>2</v>
          </cell>
          <cell r="H81">
            <v>140319</v>
          </cell>
          <cell r="I81">
            <v>280638</v>
          </cell>
          <cell r="J81" t="str">
            <v>Oui</v>
          </cell>
          <cell r="K81" t="str">
            <v>Alcatel-Lucent</v>
          </cell>
        </row>
        <row r="82">
          <cell r="A82">
            <v>2213</v>
          </cell>
          <cell r="B82" t="str">
            <v>CABLE 7X2</v>
          </cell>
          <cell r="C82" t="str">
            <v>OBS</v>
          </cell>
          <cell r="D82" t="str">
            <v>M</v>
          </cell>
          <cell r="F82">
            <v>640</v>
          </cell>
          <cell r="G82">
            <v>640</v>
          </cell>
          <cell r="H82">
            <v>201</v>
          </cell>
          <cell r="I82">
            <v>128640</v>
          </cell>
          <cell r="J82" t="str">
            <v>Non</v>
          </cell>
          <cell r="K82" t="str">
            <v>Générique</v>
          </cell>
        </row>
        <row r="83">
          <cell r="A83">
            <v>2215</v>
          </cell>
          <cell r="B83" t="str">
            <v>3EH73092AD CARTE INTERFACES ANALOGIQUES SLI4-2 (Catégorie: RPE)</v>
          </cell>
          <cell r="C83" t="str">
            <v>OBS</v>
          </cell>
          <cell r="D83" t="str">
            <v>PCE</v>
          </cell>
          <cell r="E83">
            <v>1</v>
          </cell>
          <cell r="F83">
            <v>2</v>
          </cell>
          <cell r="G83">
            <v>3</v>
          </cell>
          <cell r="H83">
            <v>73383</v>
          </cell>
          <cell r="I83">
            <v>220149</v>
          </cell>
          <cell r="J83" t="str">
            <v>Oui</v>
          </cell>
          <cell r="K83" t="str">
            <v>Alcatel-Lucent</v>
          </cell>
        </row>
        <row r="84">
          <cell r="A84">
            <v>2218</v>
          </cell>
          <cell r="B84" t="str">
            <v>CABLE INFORMATIQUE UTP 4X2 CAT 6</v>
          </cell>
          <cell r="C84" t="str">
            <v>OBS</v>
          </cell>
          <cell r="D84" t="str">
            <v>M</v>
          </cell>
          <cell r="F84">
            <v>75</v>
          </cell>
          <cell r="G84">
            <v>75</v>
          </cell>
          <cell r="H84">
            <v>783</v>
          </cell>
          <cell r="I84">
            <v>58725</v>
          </cell>
          <cell r="J84" t="str">
            <v>Non</v>
          </cell>
          <cell r="K84" t="str">
            <v>Générique</v>
          </cell>
        </row>
        <row r="85">
          <cell r="A85">
            <v>2226</v>
          </cell>
          <cell r="B85" t="str">
            <v>3BA53050AA Carte UA32</v>
          </cell>
          <cell r="C85" t="str">
            <v>OBS</v>
          </cell>
          <cell r="D85" t="str">
            <v>PCE</v>
          </cell>
          <cell r="E85">
            <v>1</v>
          </cell>
          <cell r="G85">
            <v>1</v>
          </cell>
          <cell r="H85">
            <v>45261.033000000003</v>
          </cell>
          <cell r="I85">
            <v>45261.033000000003</v>
          </cell>
          <cell r="J85" t="str">
            <v>Oui</v>
          </cell>
          <cell r="K85" t="str">
            <v>Alcatel-Lucent</v>
          </cell>
        </row>
        <row r="86">
          <cell r="A86">
            <v>2227</v>
          </cell>
          <cell r="B86" t="str">
            <v xml:space="preserve">3BA58020AB Câble Répartiteur Général TY1 64pts DIN 15 m pour cartes UA¿ Z¿ NDDI¿ BRA  </v>
          </cell>
          <cell r="C86" t="str">
            <v>OBS</v>
          </cell>
          <cell r="D86" t="str">
            <v>M</v>
          </cell>
          <cell r="F86">
            <v>41</v>
          </cell>
          <cell r="G86">
            <v>41</v>
          </cell>
          <cell r="H86">
            <v>27761.187000000002</v>
          </cell>
          <cell r="I86">
            <v>1138208.6670000001</v>
          </cell>
          <cell r="J86" t="str">
            <v>Oui</v>
          </cell>
          <cell r="K86" t="str">
            <v>Alcatel-Lucent</v>
          </cell>
        </row>
        <row r="87">
          <cell r="A87">
            <v>2231</v>
          </cell>
          <cell r="B87" t="str">
            <v>3EH08337AA OMNIPCX OFFICE PREMIUM UNIT 3 -BOITIER VIDE</v>
          </cell>
          <cell r="C87" t="str">
            <v>OBS</v>
          </cell>
          <cell r="D87" t="str">
            <v>PCE</v>
          </cell>
          <cell r="F87">
            <v>2</v>
          </cell>
          <cell r="G87">
            <v>2</v>
          </cell>
          <cell r="H87">
            <v>382242</v>
          </cell>
          <cell r="I87">
            <v>764484</v>
          </cell>
          <cell r="J87" t="str">
            <v>Oui</v>
          </cell>
          <cell r="K87" t="str">
            <v>Alcatel-Lucent</v>
          </cell>
        </row>
        <row r="88">
          <cell r="A88">
            <v>2234</v>
          </cell>
          <cell r="B88" t="str">
            <v>3GV28133AA ALIMENTATION 4135 CA/CC UE RU US</v>
          </cell>
          <cell r="C88" t="str">
            <v>OBS</v>
          </cell>
          <cell r="D88" t="str">
            <v>PCE</v>
          </cell>
          <cell r="E88">
            <v>1</v>
          </cell>
          <cell r="G88">
            <v>1</v>
          </cell>
          <cell r="H88">
            <v>21253</v>
          </cell>
          <cell r="I88">
            <v>21253</v>
          </cell>
          <cell r="J88" t="str">
            <v>Oui</v>
          </cell>
          <cell r="K88" t="str">
            <v>Alcatel-Lucent</v>
          </cell>
        </row>
        <row r="89">
          <cell r="A89">
            <v>2243</v>
          </cell>
          <cell r="B89" t="str">
            <v>N102.462 LANmark-OF SC Connector Multimode Hotmelt 900µm&amp;2.8mm</v>
          </cell>
          <cell r="C89" t="str">
            <v>OBS</v>
          </cell>
          <cell r="D89" t="str">
            <v>PCE</v>
          </cell>
          <cell r="F89">
            <v>38</v>
          </cell>
          <cell r="G89">
            <v>38</v>
          </cell>
          <cell r="H89">
            <v>4279</v>
          </cell>
          <cell r="I89">
            <v>162602</v>
          </cell>
          <cell r="J89" t="str">
            <v>Oui</v>
          </cell>
          <cell r="K89" t="str">
            <v>Nexans</v>
          </cell>
        </row>
        <row r="90">
          <cell r="A90">
            <v>2248</v>
          </cell>
          <cell r="B90" t="str">
            <v>FIL GALVANISE</v>
          </cell>
          <cell r="C90" t="str">
            <v>OBS</v>
          </cell>
          <cell r="D90" t="str">
            <v>PCE</v>
          </cell>
          <cell r="F90">
            <v>730</v>
          </cell>
          <cell r="G90">
            <v>730</v>
          </cell>
          <cell r="H90">
            <v>150</v>
          </cell>
          <cell r="I90">
            <v>109500</v>
          </cell>
          <cell r="J90" t="str">
            <v>Non</v>
          </cell>
          <cell r="K90" t="str">
            <v>Générique</v>
          </cell>
        </row>
        <row r="91">
          <cell r="A91">
            <v>2249</v>
          </cell>
          <cell r="B91" t="str">
            <v>Tube Orange Rigide Diamètre 13</v>
          </cell>
          <cell r="C91" t="str">
            <v>OBS</v>
          </cell>
          <cell r="D91" t="str">
            <v>PCE</v>
          </cell>
          <cell r="F91">
            <v>3403</v>
          </cell>
          <cell r="G91">
            <v>3403</v>
          </cell>
          <cell r="H91">
            <v>172.24795737144001</v>
          </cell>
          <cell r="I91">
            <v>586159.79893501033</v>
          </cell>
          <cell r="J91" t="str">
            <v>Non</v>
          </cell>
          <cell r="K91" t="str">
            <v>Générique</v>
          </cell>
        </row>
        <row r="92">
          <cell r="A92">
            <v>2259</v>
          </cell>
          <cell r="B92" t="str">
            <v>3EH76238AB MIX4/8/4-x BOARD</v>
          </cell>
          <cell r="C92" t="str">
            <v>OBS</v>
          </cell>
          <cell r="D92" t="str">
            <v>PCE</v>
          </cell>
          <cell r="E92">
            <v>4</v>
          </cell>
          <cell r="F92">
            <v>29</v>
          </cell>
          <cell r="G92">
            <v>33</v>
          </cell>
          <cell r="H92">
            <v>137911.67946499999</v>
          </cell>
          <cell r="I92">
            <v>4551085.4223449994</v>
          </cell>
          <cell r="J92" t="str">
            <v>Oui</v>
          </cell>
          <cell r="K92" t="str">
            <v>Alcatel-Lucent</v>
          </cell>
        </row>
        <row r="93">
          <cell r="A93">
            <v>2262</v>
          </cell>
          <cell r="B93" t="str">
            <v>3EH08434AA OMNIPCX OFFICE ADVANCED UNIT 1- BOITIER VIDE</v>
          </cell>
          <cell r="C93" t="str">
            <v>OBS</v>
          </cell>
          <cell r="D93" t="str">
            <v>PCE</v>
          </cell>
          <cell r="F93">
            <v>1</v>
          </cell>
          <cell r="G93">
            <v>1</v>
          </cell>
          <cell r="H93">
            <v>104337</v>
          </cell>
          <cell r="I93">
            <v>104337</v>
          </cell>
          <cell r="J93" t="str">
            <v>Oui</v>
          </cell>
          <cell r="K93" t="str">
            <v>Alcatel-Lucent</v>
          </cell>
        </row>
        <row r="94">
          <cell r="A94">
            <v>2264</v>
          </cell>
          <cell r="B94" t="str">
            <v>FS-108F-POE Fanless L2+ management switch with 8xGE + 2xSFP + 1xRJ45 console and automatic limited 65W POE</v>
          </cell>
          <cell r="C94" t="str">
            <v>OBS</v>
          </cell>
          <cell r="D94" t="str">
            <v>PCE</v>
          </cell>
          <cell r="E94">
            <v>2</v>
          </cell>
          <cell r="G94">
            <v>2</v>
          </cell>
          <cell r="H94">
            <v>170404</v>
          </cell>
          <cell r="I94">
            <v>340808</v>
          </cell>
          <cell r="J94" t="str">
            <v>Oui</v>
          </cell>
          <cell r="K94" t="str">
            <v>Fortinet</v>
          </cell>
        </row>
        <row r="95">
          <cell r="A95">
            <v>2281</v>
          </cell>
          <cell r="B95" t="str">
            <v>CAB-SS-X21MT X21 CABLE DTE MALE TO SMART SERIAL 10 FEET</v>
          </cell>
          <cell r="C95" t="str">
            <v>OBS</v>
          </cell>
          <cell r="D95" t="str">
            <v>PCE</v>
          </cell>
          <cell r="F95">
            <v>1</v>
          </cell>
          <cell r="G95">
            <v>1</v>
          </cell>
          <cell r="H95">
            <v>20663</v>
          </cell>
          <cell r="I95">
            <v>20663</v>
          </cell>
          <cell r="J95" t="str">
            <v>Oui</v>
          </cell>
          <cell r="K95" t="str">
            <v>Cisco</v>
          </cell>
        </row>
        <row r="96">
          <cell r="A96">
            <v>2282</v>
          </cell>
          <cell r="B96" t="str">
            <v>3EH76037AA Carte accès au réseau public RNIS - 1 accès primaire T2</v>
          </cell>
          <cell r="C96" t="str">
            <v>OBS</v>
          </cell>
          <cell r="D96" t="str">
            <v>PCE</v>
          </cell>
          <cell r="E96">
            <v>2</v>
          </cell>
          <cell r="F96">
            <v>34</v>
          </cell>
          <cell r="G96">
            <v>36</v>
          </cell>
          <cell r="H96">
            <v>203367.93006993001</v>
          </cell>
          <cell r="I96">
            <v>7321245.4825174799</v>
          </cell>
          <cell r="J96" t="str">
            <v>Oui</v>
          </cell>
          <cell r="K96" t="str">
            <v>Alcatel-Lucent</v>
          </cell>
        </row>
        <row r="97">
          <cell r="A97">
            <v>2284</v>
          </cell>
          <cell r="B97" t="str">
            <v>Armoire 22U 600x600</v>
          </cell>
          <cell r="C97" t="str">
            <v>OBS</v>
          </cell>
          <cell r="D97" t="str">
            <v>PCE</v>
          </cell>
          <cell r="E97">
            <v>2</v>
          </cell>
          <cell r="F97">
            <v>7</v>
          </cell>
          <cell r="G97">
            <v>9</v>
          </cell>
          <cell r="H97">
            <v>160000</v>
          </cell>
          <cell r="I97">
            <v>1440000</v>
          </cell>
          <cell r="J97" t="str">
            <v>Non</v>
          </cell>
          <cell r="K97" t="str">
            <v>Générique</v>
          </cell>
        </row>
        <row r="98">
          <cell r="A98">
            <v>2286</v>
          </cell>
          <cell r="B98" t="str">
            <v xml:space="preserve">3EH73061AB Carte mixte analogique AMIX4/8/4-1 avec 4 lignes réseau analogiques¿ 8 ports Reflexes et 4 ports postes analogiques </v>
          </cell>
          <cell r="C98" t="str">
            <v>OBS</v>
          </cell>
          <cell r="D98" t="str">
            <v>PCE</v>
          </cell>
          <cell r="E98">
            <v>1</v>
          </cell>
          <cell r="F98">
            <v>16</v>
          </cell>
          <cell r="G98">
            <v>17</v>
          </cell>
          <cell r="H98">
            <v>159715.71660000001</v>
          </cell>
          <cell r="I98">
            <v>2715167.1822000002</v>
          </cell>
          <cell r="J98" t="str">
            <v>Oui</v>
          </cell>
          <cell r="K98" t="str">
            <v>Alcatel-Lucent</v>
          </cell>
        </row>
        <row r="99">
          <cell r="A99">
            <v>2288</v>
          </cell>
          <cell r="B99" t="str">
            <v xml:space="preserve">3EH73015AC Carte mixte RNIS / 4 T0 + 4 UAI + 8 SLI </v>
          </cell>
          <cell r="C99" t="str">
            <v>OBS</v>
          </cell>
          <cell r="D99" t="str">
            <v>PCE</v>
          </cell>
          <cell r="F99">
            <v>12</v>
          </cell>
          <cell r="G99">
            <v>12</v>
          </cell>
          <cell r="H99">
            <v>169219.51069166599</v>
          </cell>
          <cell r="I99">
            <v>2030634.1282999918</v>
          </cell>
          <cell r="J99" t="str">
            <v>Oui</v>
          </cell>
          <cell r="K99" t="str">
            <v>Alcatel-Lucent</v>
          </cell>
        </row>
        <row r="100">
          <cell r="A100">
            <v>2289</v>
          </cell>
          <cell r="B100" t="str">
            <v>L30251-U600-A520/HiPath 1120 ISDN 2-Port</v>
          </cell>
          <cell r="C100" t="str">
            <v>OBS</v>
          </cell>
          <cell r="D100" t="str">
            <v>PCE</v>
          </cell>
          <cell r="F100">
            <v>7</v>
          </cell>
          <cell r="G100">
            <v>7</v>
          </cell>
          <cell r="H100">
            <v>63365</v>
          </cell>
          <cell r="I100">
            <v>443555</v>
          </cell>
          <cell r="J100" t="str">
            <v>Oui</v>
          </cell>
          <cell r="K100" t="str">
            <v>Générique</v>
          </cell>
        </row>
        <row r="101">
          <cell r="A101">
            <v>2290</v>
          </cell>
          <cell r="B101" t="str">
            <v xml:space="preserve">3EH73005AD Carte d´équipements Reflexes - 4 équipements UA </v>
          </cell>
          <cell r="C101" t="str">
            <v>OBS</v>
          </cell>
          <cell r="D101" t="str">
            <v>PCE</v>
          </cell>
          <cell r="E101">
            <v>5</v>
          </cell>
          <cell r="G101">
            <v>5</v>
          </cell>
          <cell r="H101">
            <v>65596</v>
          </cell>
          <cell r="I101">
            <v>327980</v>
          </cell>
          <cell r="J101" t="str">
            <v>Oui</v>
          </cell>
          <cell r="K101" t="str">
            <v>Alcatel-Lucent</v>
          </cell>
        </row>
        <row r="102">
          <cell r="A102">
            <v>2292</v>
          </cell>
          <cell r="B102" t="str">
            <v>C1111-8P ISR 1100 8 Ports Dual GE WAN Ethernet Router, delivering 1 WAN port and 8GE LAN ports</v>
          </cell>
          <cell r="C102" t="str">
            <v>OBS</v>
          </cell>
          <cell r="D102" t="str">
            <v>PCE</v>
          </cell>
          <cell r="F102">
            <v>1</v>
          </cell>
          <cell r="G102">
            <v>1</v>
          </cell>
          <cell r="H102">
            <v>373938</v>
          </cell>
          <cell r="I102">
            <v>373938</v>
          </cell>
          <cell r="J102" t="str">
            <v>Oui</v>
          </cell>
          <cell r="K102" t="str">
            <v>Cisco</v>
          </cell>
        </row>
        <row r="103">
          <cell r="A103">
            <v>2297</v>
          </cell>
          <cell r="B103" t="str">
            <v>3MG27106AC "Premium add-on module ""s"" Moon Grey, 40 programmable keys, clip included"</v>
          </cell>
          <cell r="C103" t="str">
            <v>OBS</v>
          </cell>
          <cell r="D103" t="str">
            <v>PCE</v>
          </cell>
          <cell r="E103">
            <v>8</v>
          </cell>
          <cell r="F103">
            <v>10</v>
          </cell>
          <cell r="G103">
            <v>18</v>
          </cell>
          <cell r="H103">
            <v>34061.916054328998</v>
          </cell>
          <cell r="I103">
            <v>613114.48897792201</v>
          </cell>
          <cell r="J103" t="str">
            <v>Oui</v>
          </cell>
          <cell r="K103" t="str">
            <v>Alcatel-Lucent</v>
          </cell>
        </row>
        <row r="104">
          <cell r="A104">
            <v>2327</v>
          </cell>
          <cell r="B104" t="str">
            <v>FS-108F-FPOE L2+ management switch with 8xGE + 2xSFP + 1xRJ45 console and automatic limited 130W POE</v>
          </cell>
          <cell r="C104" t="str">
            <v>OBS</v>
          </cell>
          <cell r="D104" t="str">
            <v>PCE</v>
          </cell>
          <cell r="E104">
            <v>6</v>
          </cell>
          <cell r="F104">
            <v>4</v>
          </cell>
          <cell r="G104">
            <v>10</v>
          </cell>
          <cell r="H104">
            <v>175760.99457485901</v>
          </cell>
          <cell r="I104">
            <v>1757609.9457485902</v>
          </cell>
          <cell r="J104" t="str">
            <v>Oui</v>
          </cell>
          <cell r="K104" t="str">
            <v>Fortinet</v>
          </cell>
        </row>
        <row r="105">
          <cell r="A105">
            <v>2337</v>
          </cell>
          <cell r="B105" t="str">
            <v>3MG08021AA 8008G DESKPHONE SANS CABLE RJ45</v>
          </cell>
          <cell r="C105" t="str">
            <v>OBS</v>
          </cell>
          <cell r="D105" t="str">
            <v>PCE</v>
          </cell>
          <cell r="E105">
            <v>27</v>
          </cell>
          <cell r="G105">
            <v>27</v>
          </cell>
          <cell r="H105">
            <v>61858.6009969796</v>
          </cell>
          <cell r="I105">
            <v>1670182.2269184492</v>
          </cell>
          <cell r="J105" t="str">
            <v>oui</v>
          </cell>
          <cell r="K105" t="str">
            <v>Alcatel-Lucent</v>
          </cell>
        </row>
        <row r="106">
          <cell r="A106">
            <v>2347</v>
          </cell>
          <cell r="B106" t="str">
            <v xml:space="preserve">3EH76177AD Sauvegarde d´alimentation externe 12V pour OmniPCX Office Compact Edition (2 batteries, capacité jusqu¿à 8 heures)  </v>
          </cell>
          <cell r="C106" t="str">
            <v>OBS</v>
          </cell>
          <cell r="D106" t="str">
            <v>PCE</v>
          </cell>
          <cell r="E106">
            <v>8</v>
          </cell>
          <cell r="F106">
            <v>21</v>
          </cell>
          <cell r="G106">
            <v>29</v>
          </cell>
          <cell r="H106">
            <v>49719.527921282701</v>
          </cell>
          <cell r="I106">
            <v>1441866.3097171984</v>
          </cell>
          <cell r="J106" t="str">
            <v>Oui</v>
          </cell>
          <cell r="K106" t="str">
            <v>Alcatel-Lucent</v>
          </cell>
        </row>
        <row r="107">
          <cell r="A107">
            <v>2349</v>
          </cell>
          <cell r="B107" t="str">
            <v xml:space="preserve">3EH76155AB Boitier rack pour batteries externes 36V </v>
          </cell>
          <cell r="C107" t="str">
            <v>OBS</v>
          </cell>
          <cell r="D107" t="str">
            <v>PCE</v>
          </cell>
          <cell r="E107">
            <v>1</v>
          </cell>
          <cell r="F107">
            <v>14</v>
          </cell>
          <cell r="G107">
            <v>15</v>
          </cell>
          <cell r="H107">
            <v>72952.237500000003</v>
          </cell>
          <cell r="I107">
            <v>1094283.5625</v>
          </cell>
          <cell r="J107" t="str">
            <v>Oui</v>
          </cell>
          <cell r="K107" t="str">
            <v>Alcatel-Lucent</v>
          </cell>
        </row>
        <row r="108">
          <cell r="A108">
            <v>2366</v>
          </cell>
          <cell r="B108" t="str">
            <v>EMBOUT- GOULOTTE 105X50</v>
          </cell>
          <cell r="C108" t="str">
            <v>OBS</v>
          </cell>
          <cell r="D108" t="str">
            <v>PCE</v>
          </cell>
          <cell r="E108">
            <v>1</v>
          </cell>
          <cell r="F108">
            <v>18</v>
          </cell>
          <cell r="G108">
            <v>19</v>
          </cell>
          <cell r="H108">
            <v>1476</v>
          </cell>
          <cell r="I108">
            <v>28044</v>
          </cell>
          <cell r="J108" t="str">
            <v>Non</v>
          </cell>
          <cell r="K108" t="str">
            <v>Générique</v>
          </cell>
        </row>
        <row r="109">
          <cell r="A109">
            <v>2368</v>
          </cell>
          <cell r="B109" t="str">
            <v>WS-C2960-48TT-S _ Catalyst 2960 48 10/100 + 2 1000BT LAN Lite Image</v>
          </cell>
          <cell r="C109" t="str">
            <v>OBS</v>
          </cell>
          <cell r="D109" t="str">
            <v>PCE</v>
          </cell>
          <cell r="E109">
            <v>1</v>
          </cell>
          <cell r="G109">
            <v>1</v>
          </cell>
          <cell r="H109">
            <v>444678</v>
          </cell>
          <cell r="I109">
            <v>444678</v>
          </cell>
          <cell r="J109" t="str">
            <v>Oui</v>
          </cell>
          <cell r="K109" t="str">
            <v>Cisco</v>
          </cell>
        </row>
        <row r="110">
          <cell r="A110">
            <v>2371</v>
          </cell>
          <cell r="B110" t="str">
            <v>CABLE INFORMATIQUE FTP 4X2 CAT 5</v>
          </cell>
          <cell r="C110" t="str">
            <v>OBS</v>
          </cell>
          <cell r="D110" t="str">
            <v>M</v>
          </cell>
          <cell r="F110">
            <v>5185</v>
          </cell>
          <cell r="G110">
            <v>5185</v>
          </cell>
          <cell r="H110">
            <v>241</v>
          </cell>
          <cell r="I110">
            <v>1249585</v>
          </cell>
          <cell r="J110" t="str">
            <v>Non</v>
          </cell>
          <cell r="K110" t="str">
            <v>Générique</v>
          </cell>
        </row>
        <row r="111">
          <cell r="A111">
            <v>2390</v>
          </cell>
          <cell r="B111" t="str">
            <v>CARTE NDDI</v>
          </cell>
          <cell r="C111" t="str">
            <v>OBS</v>
          </cell>
          <cell r="D111" t="str">
            <v>PCE</v>
          </cell>
          <cell r="F111">
            <v>3</v>
          </cell>
          <cell r="G111">
            <v>3</v>
          </cell>
          <cell r="H111">
            <v>162334</v>
          </cell>
          <cell r="I111">
            <v>487002</v>
          </cell>
          <cell r="J111" t="str">
            <v>Oui</v>
          </cell>
          <cell r="K111" t="str">
            <v>Alcatel-Lucent</v>
          </cell>
        </row>
        <row r="112">
          <cell r="A112">
            <v>2397</v>
          </cell>
          <cell r="B112" t="str">
            <v>PVDM2-32 _ 32-Channel Packet Voice/Fax DSP Module</v>
          </cell>
          <cell r="C112" t="str">
            <v>OBS</v>
          </cell>
          <cell r="D112" t="str">
            <v>PCE</v>
          </cell>
          <cell r="E112">
            <v>1</v>
          </cell>
          <cell r="G112">
            <v>1</v>
          </cell>
          <cell r="H112">
            <v>349094</v>
          </cell>
          <cell r="I112">
            <v>349094</v>
          </cell>
          <cell r="J112" t="str">
            <v>Oui</v>
          </cell>
          <cell r="K112" t="str">
            <v>Cisco</v>
          </cell>
        </row>
        <row r="113">
          <cell r="A113">
            <v>2408</v>
          </cell>
          <cell r="B113" t="str">
            <v>POSTE TEMPORIS 200</v>
          </cell>
          <cell r="C113" t="str">
            <v>OBS</v>
          </cell>
          <cell r="D113" t="str">
            <v>PCE</v>
          </cell>
          <cell r="F113">
            <v>3</v>
          </cell>
          <cell r="G113">
            <v>3</v>
          </cell>
          <cell r="H113">
            <v>7871</v>
          </cell>
          <cell r="I113">
            <v>23613</v>
          </cell>
          <cell r="J113" t="str">
            <v>Oui</v>
          </cell>
          <cell r="K113" t="str">
            <v>Générique</v>
          </cell>
        </row>
        <row r="114">
          <cell r="A114">
            <v>2414</v>
          </cell>
          <cell r="B114" t="str">
            <v>GrandStream Poste GRP2612</v>
          </cell>
          <cell r="C114" t="str">
            <v>OBS</v>
          </cell>
          <cell r="D114" t="str">
            <v>PCE</v>
          </cell>
          <cell r="E114">
            <v>15</v>
          </cell>
          <cell r="G114">
            <v>15</v>
          </cell>
          <cell r="H114">
            <v>24493.434379999999</v>
          </cell>
          <cell r="I114">
            <v>367401.51569999999</v>
          </cell>
          <cell r="J114" t="str">
            <v>Oui</v>
          </cell>
          <cell r="K114" t="str">
            <v>Grandstream</v>
          </cell>
        </row>
        <row r="115">
          <cell r="A115">
            <v>2454</v>
          </cell>
          <cell r="B115" t="str">
            <v>CAPOT CONNECTEUR 9 PTS</v>
          </cell>
          <cell r="C115" t="str">
            <v>OBS</v>
          </cell>
          <cell r="D115" t="str">
            <v>U</v>
          </cell>
          <cell r="E115">
            <v>5</v>
          </cell>
          <cell r="F115">
            <v>168</v>
          </cell>
          <cell r="G115">
            <v>173</v>
          </cell>
          <cell r="H115">
            <v>847</v>
          </cell>
          <cell r="I115">
            <v>146531</v>
          </cell>
          <cell r="J115" t="str">
            <v>Non</v>
          </cell>
          <cell r="K115" t="str">
            <v>Générique</v>
          </cell>
        </row>
        <row r="116">
          <cell r="A116">
            <v>2455</v>
          </cell>
          <cell r="B116" t="str">
            <v>ANGLE EXTERIEUR 100x50</v>
          </cell>
          <cell r="C116" t="str">
            <v>OBS</v>
          </cell>
          <cell r="D116" t="str">
            <v>U</v>
          </cell>
          <cell r="F116">
            <v>50</v>
          </cell>
          <cell r="G116">
            <v>50</v>
          </cell>
          <cell r="H116">
            <v>1500</v>
          </cell>
          <cell r="I116">
            <v>75000</v>
          </cell>
          <cell r="J116" t="str">
            <v>Non</v>
          </cell>
          <cell r="K116" t="str">
            <v>Générique</v>
          </cell>
        </row>
        <row r="117">
          <cell r="A117">
            <v>2460</v>
          </cell>
          <cell r="B117" t="str">
            <v>ANGLE PLAT- GOULOTTE 105X50</v>
          </cell>
          <cell r="C117" t="str">
            <v>OBS</v>
          </cell>
          <cell r="D117" t="str">
            <v>U</v>
          </cell>
          <cell r="F117">
            <v>18</v>
          </cell>
          <cell r="G117">
            <v>18</v>
          </cell>
          <cell r="H117">
            <v>3316</v>
          </cell>
          <cell r="I117">
            <v>59688</v>
          </cell>
          <cell r="J117" t="str">
            <v>Non</v>
          </cell>
          <cell r="K117" t="str">
            <v>Générique</v>
          </cell>
        </row>
        <row r="118">
          <cell r="A118">
            <v>2462</v>
          </cell>
          <cell r="B118" t="str">
            <v>N123.5CLA2 LANmark-OF Patch Cord Duplex LC Duplex SC Multimode 50/125 OM3 LSZH Aqua 2m</v>
          </cell>
          <cell r="C118" t="str">
            <v>OBS</v>
          </cell>
          <cell r="D118" t="str">
            <v>U</v>
          </cell>
          <cell r="F118">
            <v>4</v>
          </cell>
          <cell r="G118">
            <v>4</v>
          </cell>
          <cell r="H118">
            <v>12560</v>
          </cell>
          <cell r="I118">
            <v>50240</v>
          </cell>
          <cell r="J118" t="str">
            <v>Oui</v>
          </cell>
          <cell r="K118" t="str">
            <v>Nexans</v>
          </cell>
        </row>
        <row r="119">
          <cell r="A119">
            <v>2463</v>
          </cell>
          <cell r="B119" t="str">
            <v>Goulotte 100x50 (Longueur de 2m)</v>
          </cell>
          <cell r="C119" t="str">
            <v>OBS</v>
          </cell>
          <cell r="D119" t="str">
            <v>U</v>
          </cell>
          <cell r="E119">
            <v>10</v>
          </cell>
          <cell r="F119">
            <v>341</v>
          </cell>
          <cell r="G119">
            <v>351</v>
          </cell>
          <cell r="H119">
            <v>4415.3554817275699</v>
          </cell>
          <cell r="I119">
            <v>1549789.7740863771</v>
          </cell>
          <cell r="J119" t="str">
            <v>Non</v>
          </cell>
          <cell r="K119" t="str">
            <v>Générique</v>
          </cell>
        </row>
        <row r="120">
          <cell r="A120">
            <v>2464</v>
          </cell>
          <cell r="B120" t="str">
            <v>BATTERIE 12V/7AH</v>
          </cell>
          <cell r="C120" t="str">
            <v>OBS</v>
          </cell>
          <cell r="D120" t="str">
            <v>U</v>
          </cell>
          <cell r="E120">
            <v>9</v>
          </cell>
          <cell r="F120">
            <v>170</v>
          </cell>
          <cell r="G120">
            <v>179</v>
          </cell>
          <cell r="H120">
            <v>8891.8102483777093</v>
          </cell>
          <cell r="I120">
            <v>1591634.03445961</v>
          </cell>
          <cell r="J120" t="str">
            <v>Non</v>
          </cell>
          <cell r="K120" t="str">
            <v>Générique</v>
          </cell>
        </row>
        <row r="121">
          <cell r="A121">
            <v>2465</v>
          </cell>
          <cell r="B121" t="str">
            <v xml:space="preserve">3EH76034AA Caches slots (x1) </v>
          </cell>
          <cell r="C121" t="str">
            <v>OBS</v>
          </cell>
          <cell r="D121" t="str">
            <v>U</v>
          </cell>
          <cell r="E121">
            <v>3</v>
          </cell>
          <cell r="F121">
            <v>58</v>
          </cell>
          <cell r="G121">
            <v>61</v>
          </cell>
          <cell r="H121">
            <v>3765.8488041421001</v>
          </cell>
          <cell r="I121">
            <v>229716.7770526681</v>
          </cell>
          <cell r="J121" t="str">
            <v>Oui</v>
          </cell>
          <cell r="K121" t="str">
            <v>Alcatel-Lucent</v>
          </cell>
        </row>
        <row r="122">
          <cell r="A122">
            <v>2466</v>
          </cell>
          <cell r="B122" t="str">
            <v>BLOC MULTIPRISE  LEGRANG 332 36</v>
          </cell>
          <cell r="C122" t="str">
            <v>OBS</v>
          </cell>
          <cell r="D122" t="str">
            <v>U</v>
          </cell>
          <cell r="F122">
            <v>34</v>
          </cell>
          <cell r="G122">
            <v>34</v>
          </cell>
          <cell r="H122">
            <v>2500</v>
          </cell>
          <cell r="I122">
            <v>85000</v>
          </cell>
          <cell r="J122" t="str">
            <v>Non</v>
          </cell>
          <cell r="K122" t="str">
            <v>Legrand</v>
          </cell>
        </row>
        <row r="123">
          <cell r="A123">
            <v>2467</v>
          </cell>
          <cell r="B123" t="str">
            <v>3EH76037AA Carte accès ISDN E1 PRA- T2 (retour RMA)</v>
          </cell>
          <cell r="C123" t="str">
            <v>OBS</v>
          </cell>
          <cell r="D123" t="str">
            <v>U</v>
          </cell>
          <cell r="E123">
            <v>2</v>
          </cell>
          <cell r="G123">
            <v>2</v>
          </cell>
          <cell r="H123">
            <v>181044.13200000001</v>
          </cell>
          <cell r="I123">
            <v>362088.26400000002</v>
          </cell>
          <cell r="J123" t="str">
            <v>Oui</v>
          </cell>
          <cell r="K123" t="str">
            <v>Alcatel-Lucent</v>
          </cell>
        </row>
        <row r="124">
          <cell r="A124">
            <v>2468</v>
          </cell>
          <cell r="B124" t="str">
            <v>BLOC MULTIPRISE DE 6</v>
          </cell>
          <cell r="C124" t="str">
            <v>OBS</v>
          </cell>
          <cell r="D124" t="str">
            <v>U</v>
          </cell>
          <cell r="E124">
            <v>9</v>
          </cell>
          <cell r="F124">
            <v>54</v>
          </cell>
          <cell r="G124">
            <v>63</v>
          </cell>
          <cell r="H124">
            <v>3338.89602053915</v>
          </cell>
          <cell r="I124">
            <v>210350.44929396643</v>
          </cell>
          <cell r="J124" t="str">
            <v>Non</v>
          </cell>
          <cell r="K124" t="str">
            <v>Générique</v>
          </cell>
        </row>
        <row r="125">
          <cell r="A125">
            <v>2474</v>
          </cell>
          <cell r="B125" t="str">
            <v>BOÎTE SAILLIE 45 X 45 STI</v>
          </cell>
          <cell r="C125" t="str">
            <v>OBS</v>
          </cell>
          <cell r="D125" t="str">
            <v>U</v>
          </cell>
          <cell r="F125">
            <v>162</v>
          </cell>
          <cell r="G125">
            <v>162</v>
          </cell>
          <cell r="H125">
            <v>2771</v>
          </cell>
          <cell r="I125">
            <v>448902</v>
          </cell>
          <cell r="J125" t="str">
            <v>Non</v>
          </cell>
          <cell r="K125" t="str">
            <v>Générique</v>
          </cell>
        </row>
        <row r="126">
          <cell r="A126">
            <v>2477</v>
          </cell>
          <cell r="B126" t="str">
            <v>GRANDSTREAM UCM6302A UCM6302A No Internet Sales</v>
          </cell>
          <cell r="C126" t="str">
            <v>OBS</v>
          </cell>
          <cell r="D126" t="str">
            <v>U</v>
          </cell>
          <cell r="E126">
            <v>4</v>
          </cell>
          <cell r="G126">
            <v>4</v>
          </cell>
          <cell r="H126">
            <v>121634.10651</v>
          </cell>
          <cell r="I126">
            <v>486536.42603999999</v>
          </cell>
          <cell r="J126" t="str">
            <v>oui</v>
          </cell>
          <cell r="K126" t="str">
            <v>Grandstream</v>
          </cell>
        </row>
        <row r="127">
          <cell r="A127">
            <v>2478</v>
          </cell>
          <cell r="B127" t="str">
            <v>N521.661 Modular Empty patch Panel for 24 Snap-in connectors with Clip on system and shutters</v>
          </cell>
          <cell r="C127" t="str">
            <v>OBS</v>
          </cell>
          <cell r="D127" t="str">
            <v>U</v>
          </cell>
          <cell r="E127">
            <v>24</v>
          </cell>
          <cell r="F127">
            <v>106</v>
          </cell>
          <cell r="G127">
            <v>130</v>
          </cell>
          <cell r="H127">
            <v>17948.180064666602</v>
          </cell>
          <cell r="I127">
            <v>2333263.4084066581</v>
          </cell>
          <cell r="J127" t="str">
            <v>Oui</v>
          </cell>
          <cell r="K127" t="str">
            <v>Nexans</v>
          </cell>
        </row>
        <row r="128">
          <cell r="A128">
            <v>2480</v>
          </cell>
          <cell r="B128" t="str">
            <v>Tube Orange Annelé Diamètre 13</v>
          </cell>
          <cell r="C128" t="str">
            <v>OBS</v>
          </cell>
          <cell r="D128" t="str">
            <v>M</v>
          </cell>
          <cell r="E128">
            <v>140</v>
          </cell>
          <cell r="F128">
            <v>500</v>
          </cell>
          <cell r="G128">
            <v>640</v>
          </cell>
          <cell r="H128">
            <v>180</v>
          </cell>
          <cell r="I128">
            <v>115200</v>
          </cell>
          <cell r="J128" t="str">
            <v>Non</v>
          </cell>
          <cell r="K128" t="str">
            <v>Générique</v>
          </cell>
        </row>
        <row r="129">
          <cell r="A129">
            <v>2481</v>
          </cell>
          <cell r="B129" t="str">
            <v>CABLE LY 21 X 2</v>
          </cell>
          <cell r="C129" t="str">
            <v>OBS</v>
          </cell>
          <cell r="D129" t="str">
            <v>M</v>
          </cell>
          <cell r="F129">
            <v>76</v>
          </cell>
          <cell r="G129">
            <v>76</v>
          </cell>
          <cell r="H129">
            <v>1486</v>
          </cell>
          <cell r="I129">
            <v>112936</v>
          </cell>
          <cell r="J129" t="str">
            <v>Non</v>
          </cell>
          <cell r="K129" t="str">
            <v>Générique</v>
          </cell>
        </row>
        <row r="130">
          <cell r="A130">
            <v>2482</v>
          </cell>
          <cell r="B130" t="str">
            <v>CABLE LY 30 X 2</v>
          </cell>
          <cell r="C130" t="str">
            <v>OBS</v>
          </cell>
          <cell r="D130" t="str">
            <v>M</v>
          </cell>
          <cell r="F130">
            <v>2027</v>
          </cell>
          <cell r="G130">
            <v>2027</v>
          </cell>
          <cell r="H130">
            <v>2070</v>
          </cell>
          <cell r="I130">
            <v>4195890</v>
          </cell>
          <cell r="J130" t="str">
            <v>Non</v>
          </cell>
          <cell r="K130" t="str">
            <v>Générique</v>
          </cell>
        </row>
        <row r="131">
          <cell r="A131">
            <v>2484</v>
          </cell>
          <cell r="B131" t="str">
            <v>CABLE LY 5 X 2</v>
          </cell>
          <cell r="C131" t="str">
            <v>OBS</v>
          </cell>
          <cell r="D131" t="str">
            <v>M</v>
          </cell>
          <cell r="F131">
            <v>286</v>
          </cell>
          <cell r="G131">
            <v>286</v>
          </cell>
          <cell r="H131">
            <v>211</v>
          </cell>
          <cell r="I131">
            <v>60346</v>
          </cell>
          <cell r="J131" t="str">
            <v>Non</v>
          </cell>
          <cell r="K131" t="str">
            <v>Générique</v>
          </cell>
        </row>
        <row r="132">
          <cell r="A132">
            <v>2488</v>
          </cell>
          <cell r="B132" t="str">
            <v>CABLE VGV 3 X 2,5</v>
          </cell>
          <cell r="C132" t="str">
            <v>OBS</v>
          </cell>
          <cell r="D132" t="str">
            <v>M</v>
          </cell>
          <cell r="E132">
            <v>25</v>
          </cell>
          <cell r="F132">
            <v>584</v>
          </cell>
          <cell r="G132">
            <v>609</v>
          </cell>
          <cell r="H132">
            <v>776.84989429175403</v>
          </cell>
          <cell r="I132">
            <v>473101.58562367823</v>
          </cell>
          <cell r="J132" t="str">
            <v>Non</v>
          </cell>
          <cell r="K132" t="str">
            <v>Générique</v>
          </cell>
        </row>
        <row r="133">
          <cell r="A133">
            <v>2490</v>
          </cell>
          <cell r="B133" t="str">
            <v xml:space="preserve">3EH73042AC AFU-1 Carte fille pour connexions auxilliaires </v>
          </cell>
          <cell r="C133" t="str">
            <v>OBS</v>
          </cell>
          <cell r="D133" t="str">
            <v>U</v>
          </cell>
          <cell r="E133">
            <v>2</v>
          </cell>
          <cell r="F133">
            <v>11</v>
          </cell>
          <cell r="G133">
            <v>13</v>
          </cell>
          <cell r="H133">
            <v>16293.971879999999</v>
          </cell>
          <cell r="I133">
            <v>211821.63443999999</v>
          </cell>
          <cell r="J133" t="str">
            <v>Oui</v>
          </cell>
          <cell r="K133" t="str">
            <v>Alcatel-Lucent</v>
          </cell>
        </row>
        <row r="134">
          <cell r="A134">
            <v>2495</v>
          </cell>
          <cell r="B134" t="str">
            <v xml:space="preserve">3EH73031AE APA8 Carte d´accès réseau analogique pour 8 réseaux </v>
          </cell>
          <cell r="C134" t="str">
            <v>OBS</v>
          </cell>
          <cell r="D134" t="str">
            <v>U</v>
          </cell>
          <cell r="E134">
            <v>2</v>
          </cell>
          <cell r="F134">
            <v>15</v>
          </cell>
          <cell r="G134">
            <v>17</v>
          </cell>
          <cell r="H134">
            <v>96164.069337412497</v>
          </cell>
          <cell r="I134">
            <v>1634789.1787360124</v>
          </cell>
          <cell r="J134" t="str">
            <v>Oui</v>
          </cell>
          <cell r="K134" t="str">
            <v>Alcatel-Lucent</v>
          </cell>
        </row>
        <row r="135">
          <cell r="A135">
            <v>2496</v>
          </cell>
          <cell r="B135" t="str">
            <v>3EH77005AC DIGITAL INTERFACES UAI8 BOARD</v>
          </cell>
          <cell r="C135" t="str">
            <v>OBS</v>
          </cell>
          <cell r="D135" t="str">
            <v>U</v>
          </cell>
          <cell r="E135">
            <v>7</v>
          </cell>
          <cell r="F135">
            <v>9</v>
          </cell>
          <cell r="G135">
            <v>16</v>
          </cell>
          <cell r="H135">
            <v>137908.39968</v>
          </cell>
          <cell r="I135">
            <v>2206534.39488</v>
          </cell>
          <cell r="J135" t="str">
            <v>oui</v>
          </cell>
          <cell r="K135" t="str">
            <v>Alcatel-Lucent</v>
          </cell>
        </row>
        <row r="136">
          <cell r="A136">
            <v>2500</v>
          </cell>
          <cell r="B136" t="str">
            <v>CHEVILLE EMBASE LG REF 31955</v>
          </cell>
          <cell r="C136" t="str">
            <v>OBS</v>
          </cell>
          <cell r="D136" t="str">
            <v>U</v>
          </cell>
          <cell r="E136">
            <v>5390</v>
          </cell>
          <cell r="G136">
            <v>5390</v>
          </cell>
          <cell r="H136">
            <v>25</v>
          </cell>
          <cell r="I136">
            <v>134750</v>
          </cell>
          <cell r="J136" t="str">
            <v>non</v>
          </cell>
          <cell r="K136" t="str">
            <v>Legrand</v>
          </cell>
        </row>
        <row r="137">
          <cell r="A137">
            <v>2501</v>
          </cell>
          <cell r="B137" t="str">
            <v>C9300-24T-E Catalyst 9300 24-port data only, Network Essentials</v>
          </cell>
          <cell r="C137" t="str">
            <v>OBS</v>
          </cell>
          <cell r="D137" t="str">
            <v>U</v>
          </cell>
          <cell r="F137">
            <v>1</v>
          </cell>
          <cell r="G137">
            <v>1</v>
          </cell>
          <cell r="H137">
            <v>1167106.3721114399</v>
          </cell>
          <cell r="I137">
            <v>1167106.3721114399</v>
          </cell>
          <cell r="J137" t="str">
            <v>Oui</v>
          </cell>
          <cell r="K137" t="str">
            <v>Cisco</v>
          </cell>
        </row>
        <row r="138">
          <cell r="A138">
            <v>2508</v>
          </cell>
          <cell r="B138" t="str">
            <v>3BA23266AA eUA32 BOARD</v>
          </cell>
          <cell r="C138" t="str">
            <v>OBS</v>
          </cell>
          <cell r="D138" t="str">
            <v>U</v>
          </cell>
          <cell r="E138">
            <v>3</v>
          </cell>
          <cell r="G138">
            <v>3</v>
          </cell>
          <cell r="H138">
            <v>141230</v>
          </cell>
          <cell r="I138">
            <v>423690</v>
          </cell>
          <cell r="J138" t="str">
            <v>Oui</v>
          </cell>
          <cell r="K138" t="str">
            <v>Alcatel-Lucent</v>
          </cell>
        </row>
        <row r="139">
          <cell r="A139">
            <v>2511</v>
          </cell>
          <cell r="B139" t="str">
            <v xml:space="preserve">3BA23241AA Carte GPA2 : Conf 29 Guide parlant dynamique + statique (4 langues)  </v>
          </cell>
          <cell r="C139" t="str">
            <v>OBS</v>
          </cell>
          <cell r="D139" t="str">
            <v>U</v>
          </cell>
          <cell r="E139">
            <v>2</v>
          </cell>
          <cell r="G139">
            <v>2</v>
          </cell>
          <cell r="H139">
            <v>331304</v>
          </cell>
          <cell r="I139">
            <v>662608</v>
          </cell>
          <cell r="J139" t="str">
            <v>Oui</v>
          </cell>
          <cell r="K139" t="str">
            <v>Alcatel-Lucent</v>
          </cell>
        </row>
        <row r="140">
          <cell r="A140">
            <v>2514</v>
          </cell>
          <cell r="B140" t="str">
            <v>N890.095 LANmark-OF Splice Cassette 12 Heat Shrink Protection Snap-In Panel</v>
          </cell>
          <cell r="C140" t="str">
            <v>OBS</v>
          </cell>
          <cell r="D140" t="str">
            <v>U</v>
          </cell>
          <cell r="F140">
            <v>1</v>
          </cell>
          <cell r="G140">
            <v>1</v>
          </cell>
          <cell r="H140">
            <v>5678</v>
          </cell>
          <cell r="I140">
            <v>5678</v>
          </cell>
          <cell r="J140" t="str">
            <v>Oui</v>
          </cell>
          <cell r="K140" t="str">
            <v>Nexans</v>
          </cell>
        </row>
        <row r="141">
          <cell r="A141">
            <v>2516</v>
          </cell>
          <cell r="B141" t="str">
            <v xml:space="preserve">3EH73015AD Carte mixte RNIS / 2 T0 + 4 UAI + 4 SLI </v>
          </cell>
          <cell r="C141" t="str">
            <v>OBS</v>
          </cell>
          <cell r="D141" t="str">
            <v>U</v>
          </cell>
          <cell r="F141">
            <v>4</v>
          </cell>
          <cell r="G141">
            <v>4</v>
          </cell>
          <cell r="H141">
            <v>100362</v>
          </cell>
          <cell r="I141">
            <v>401448</v>
          </cell>
          <cell r="J141" t="str">
            <v>Oui</v>
          </cell>
          <cell r="K141" t="str">
            <v>Alcatel-Lucent</v>
          </cell>
        </row>
        <row r="142">
          <cell r="A142">
            <v>2518</v>
          </cell>
          <cell r="B142" t="str">
            <v xml:space="preserve">3EH73015AB Carte mixte RNIS / 4 T0 + 8 UAI + 4 SLI </v>
          </cell>
          <cell r="C142" t="str">
            <v>OBS</v>
          </cell>
          <cell r="D142" t="str">
            <v>U</v>
          </cell>
          <cell r="F142">
            <v>20</v>
          </cell>
          <cell r="G142">
            <v>20</v>
          </cell>
          <cell r="H142">
            <v>201131.97079545399</v>
          </cell>
          <cell r="I142">
            <v>4022639.4159090798</v>
          </cell>
          <cell r="J142" t="str">
            <v>Oui</v>
          </cell>
          <cell r="K142" t="str">
            <v>Alcatel-Lucent</v>
          </cell>
        </row>
        <row r="143">
          <cell r="A143">
            <v>2522</v>
          </cell>
          <cell r="B143" t="str">
            <v xml:space="preserve">3BA23254AB Carte NPRAE-2 x accès T2  </v>
          </cell>
          <cell r="C143" t="str">
            <v>OBS</v>
          </cell>
          <cell r="D143" t="str">
            <v>U</v>
          </cell>
          <cell r="F143">
            <v>8</v>
          </cell>
          <cell r="G143">
            <v>8</v>
          </cell>
          <cell r="H143">
            <v>963517</v>
          </cell>
          <cell r="I143">
            <v>7708136</v>
          </cell>
          <cell r="J143" t="str">
            <v>Oui</v>
          </cell>
          <cell r="K143" t="str">
            <v>Alcatel-Lucent</v>
          </cell>
        </row>
        <row r="144">
          <cell r="A144">
            <v>2526</v>
          </cell>
          <cell r="B144" t="str">
            <v xml:space="preserve">3BA23243AA Connecteur 10/100 Base-T  </v>
          </cell>
          <cell r="C144" t="str">
            <v>OBS</v>
          </cell>
          <cell r="D144" t="str">
            <v>U</v>
          </cell>
          <cell r="F144">
            <v>2</v>
          </cell>
          <cell r="G144">
            <v>2</v>
          </cell>
          <cell r="H144">
            <v>44605</v>
          </cell>
          <cell r="I144">
            <v>89210</v>
          </cell>
          <cell r="J144" t="str">
            <v>Oui</v>
          </cell>
          <cell r="K144" t="str">
            <v>Alcatel-Lucent</v>
          </cell>
        </row>
        <row r="145">
          <cell r="A145">
            <v>2527</v>
          </cell>
          <cell r="B145" t="str">
            <v>3MG27035AA POE KIT EUROPE</v>
          </cell>
          <cell r="C145" t="str">
            <v>OBS</v>
          </cell>
          <cell r="D145" t="str">
            <v>U</v>
          </cell>
          <cell r="F145">
            <v>45</v>
          </cell>
          <cell r="G145">
            <v>45</v>
          </cell>
          <cell r="H145">
            <v>17474.694479999998</v>
          </cell>
          <cell r="I145">
            <v>786361.25159999996</v>
          </cell>
          <cell r="J145" t="str">
            <v>Oui</v>
          </cell>
          <cell r="K145" t="str">
            <v>Alcatel-Lucent</v>
          </cell>
        </row>
        <row r="146">
          <cell r="A146">
            <v>2533</v>
          </cell>
          <cell r="B146" t="str">
            <v>Connecteur RJ45 Catégorie 6 Blindé</v>
          </cell>
          <cell r="C146" t="str">
            <v>OBS</v>
          </cell>
          <cell r="D146" t="str">
            <v>U</v>
          </cell>
          <cell r="E146">
            <v>938</v>
          </cell>
          <cell r="G146">
            <v>938</v>
          </cell>
          <cell r="H146">
            <v>99</v>
          </cell>
          <cell r="I146">
            <v>92862</v>
          </cell>
          <cell r="J146" t="str">
            <v>NON</v>
          </cell>
          <cell r="K146" t="str">
            <v>Générique</v>
          </cell>
        </row>
        <row r="147">
          <cell r="A147">
            <v>2537</v>
          </cell>
          <cell r="B147" t="str">
            <v>Embout Goulotte Mosaic 50x105 LG 75612</v>
          </cell>
          <cell r="C147" t="str">
            <v>OBS</v>
          </cell>
          <cell r="D147" t="str">
            <v>U</v>
          </cell>
          <cell r="F147">
            <v>3</v>
          </cell>
          <cell r="G147">
            <v>3</v>
          </cell>
          <cell r="H147">
            <v>1621</v>
          </cell>
          <cell r="I147">
            <v>4863</v>
          </cell>
          <cell r="J147" t="str">
            <v>Non</v>
          </cell>
          <cell r="K147" t="str">
            <v>Générique</v>
          </cell>
        </row>
        <row r="148">
          <cell r="A148">
            <v>2538</v>
          </cell>
          <cell r="B148" t="str">
            <v>FUSIBLE 32A 10X38</v>
          </cell>
          <cell r="C148" t="str">
            <v>OBS</v>
          </cell>
          <cell r="D148" t="str">
            <v>U</v>
          </cell>
          <cell r="F148">
            <v>50</v>
          </cell>
          <cell r="G148">
            <v>50</v>
          </cell>
          <cell r="H148">
            <v>300</v>
          </cell>
          <cell r="I148">
            <v>15000</v>
          </cell>
          <cell r="J148" t="str">
            <v>Non</v>
          </cell>
          <cell r="K148" t="str">
            <v>Générique</v>
          </cell>
        </row>
        <row r="149">
          <cell r="A149">
            <v>2539</v>
          </cell>
          <cell r="B149" t="str">
            <v xml:space="preserve">3EH73050AB Carte d´interface UAI16-1 : 16 interfaces numériques </v>
          </cell>
          <cell r="C149" t="str">
            <v>OBS</v>
          </cell>
          <cell r="D149" t="str">
            <v>U</v>
          </cell>
          <cell r="E149">
            <v>1</v>
          </cell>
          <cell r="F149">
            <v>5</v>
          </cell>
          <cell r="G149">
            <v>6</v>
          </cell>
          <cell r="H149">
            <v>216751.13658848201</v>
          </cell>
          <cell r="I149">
            <v>1300506.8195308922</v>
          </cell>
          <cell r="J149" t="str">
            <v>Oui</v>
          </cell>
          <cell r="K149" t="str">
            <v>Alcatel-Lucent</v>
          </cell>
        </row>
        <row r="150">
          <cell r="A150">
            <v>2540</v>
          </cell>
          <cell r="B150" t="str">
            <v>ATL1608636 POSTE TEMPORIS 500</v>
          </cell>
          <cell r="C150" t="str">
            <v>OBS</v>
          </cell>
          <cell r="D150" t="str">
            <v>U</v>
          </cell>
          <cell r="F150">
            <v>2</v>
          </cell>
          <cell r="G150">
            <v>2</v>
          </cell>
          <cell r="H150">
            <v>8542</v>
          </cell>
          <cell r="I150">
            <v>17084</v>
          </cell>
          <cell r="J150" t="str">
            <v>Oui</v>
          </cell>
          <cell r="K150" t="str">
            <v>Alcatel-Lucent</v>
          </cell>
        </row>
        <row r="151">
          <cell r="A151">
            <v>2541</v>
          </cell>
          <cell r="B151" t="str">
            <v>COLLIER COLRING 31828</v>
          </cell>
          <cell r="C151" t="str">
            <v>OBS</v>
          </cell>
          <cell r="D151" t="str">
            <v>U</v>
          </cell>
          <cell r="E151">
            <v>2300</v>
          </cell>
          <cell r="G151">
            <v>2300</v>
          </cell>
          <cell r="H151">
            <v>25.36</v>
          </cell>
          <cell r="I151">
            <v>58328</v>
          </cell>
          <cell r="J151" t="str">
            <v>Non</v>
          </cell>
          <cell r="K151" t="str">
            <v>Générique</v>
          </cell>
        </row>
        <row r="152">
          <cell r="A152">
            <v>2542</v>
          </cell>
          <cell r="B152" t="str">
            <v>3BA53065NA Carte Z24-2</v>
          </cell>
          <cell r="C152" t="str">
            <v>OBS</v>
          </cell>
          <cell r="D152" t="str">
            <v>U</v>
          </cell>
          <cell r="E152">
            <v>2</v>
          </cell>
          <cell r="F152">
            <v>1</v>
          </cell>
          <cell r="G152">
            <v>3</v>
          </cell>
          <cell r="H152">
            <v>175169</v>
          </cell>
          <cell r="I152">
            <v>525507</v>
          </cell>
          <cell r="J152" t="str">
            <v>Oui</v>
          </cell>
          <cell r="K152" t="str">
            <v>Alcatel-Lucent</v>
          </cell>
        </row>
        <row r="153">
          <cell r="A153">
            <v>2543</v>
          </cell>
          <cell r="B153" t="str">
            <v>Linksys wireless -G Acces Point With Power Over Ethernet and Range Booster Wap 200-Borne d'accés sans fil-802.11b, 802.11g</v>
          </cell>
          <cell r="C153" t="str">
            <v>OBS</v>
          </cell>
          <cell r="D153" t="str">
            <v>U</v>
          </cell>
          <cell r="F153">
            <v>2</v>
          </cell>
          <cell r="G153">
            <v>2</v>
          </cell>
          <cell r="H153">
            <v>39817</v>
          </cell>
          <cell r="I153">
            <v>79634</v>
          </cell>
          <cell r="J153" t="str">
            <v>Oui</v>
          </cell>
          <cell r="K153" t="str">
            <v>Générique</v>
          </cell>
        </row>
        <row r="154">
          <cell r="A154">
            <v>2547</v>
          </cell>
          <cell r="B154" t="str">
            <v>3MG27026AA  8002/8012 POWER SUPPLY 5V EUROPE</v>
          </cell>
          <cell r="C154" t="str">
            <v>OBS</v>
          </cell>
          <cell r="D154" t="str">
            <v>U</v>
          </cell>
          <cell r="F154">
            <v>14</v>
          </cell>
          <cell r="G154">
            <v>14</v>
          </cell>
          <cell r="H154">
            <v>7084</v>
          </cell>
          <cell r="I154">
            <v>99176</v>
          </cell>
          <cell r="J154" t="str">
            <v>Oui</v>
          </cell>
          <cell r="K154" t="str">
            <v>Alcatel-Lucent</v>
          </cell>
        </row>
        <row r="155">
          <cell r="A155">
            <v>2549</v>
          </cell>
          <cell r="B155" t="str">
            <v>CONNECTEUR 25 POINTS FEMELLE</v>
          </cell>
          <cell r="C155" t="str">
            <v>OBS</v>
          </cell>
          <cell r="D155" t="str">
            <v>U</v>
          </cell>
          <cell r="F155">
            <v>128</v>
          </cell>
          <cell r="G155">
            <v>128</v>
          </cell>
          <cell r="H155">
            <v>353</v>
          </cell>
          <cell r="I155">
            <v>45184</v>
          </cell>
          <cell r="J155" t="str">
            <v>Non</v>
          </cell>
          <cell r="K155" t="str">
            <v>Générique</v>
          </cell>
        </row>
        <row r="156">
          <cell r="A156">
            <v>2553</v>
          </cell>
          <cell r="B156" t="str">
            <v>Poste Alcatel 4028 IP TOUCH  EE Urban Grey FR (retour RMA)</v>
          </cell>
          <cell r="C156" t="str">
            <v>OBS</v>
          </cell>
          <cell r="D156" t="str">
            <v>U</v>
          </cell>
          <cell r="F156">
            <v>8</v>
          </cell>
          <cell r="G156">
            <v>8</v>
          </cell>
          <cell r="H156">
            <v>19554.078170000001</v>
          </cell>
          <cell r="I156">
            <v>156432.62536000001</v>
          </cell>
          <cell r="J156" t="str">
            <v>Oui</v>
          </cell>
          <cell r="K156" t="str">
            <v>Alcatel-Lucent</v>
          </cell>
        </row>
        <row r="157">
          <cell r="A157">
            <v>2555</v>
          </cell>
          <cell r="B157" t="str">
            <v>CAB-ETH-S-RJ45 Yellow Cable for Ethernet, Straight-through, RJ-45, 6 feet</v>
          </cell>
          <cell r="C157" t="str">
            <v>OBS</v>
          </cell>
          <cell r="D157" t="str">
            <v>U</v>
          </cell>
          <cell r="F157">
            <v>9</v>
          </cell>
          <cell r="G157">
            <v>9</v>
          </cell>
          <cell r="H157">
            <v>5023</v>
          </cell>
          <cell r="I157">
            <v>45207</v>
          </cell>
          <cell r="J157" t="str">
            <v>Oui</v>
          </cell>
          <cell r="K157" t="str">
            <v>Cisco</v>
          </cell>
        </row>
        <row r="158">
          <cell r="A158">
            <v>2560</v>
          </cell>
          <cell r="B158" t="str">
            <v>CORDONS COMBINÉS NOIRS ( IVOIRS )</v>
          </cell>
          <cell r="C158" t="str">
            <v>OBS</v>
          </cell>
          <cell r="D158" t="str">
            <v>U</v>
          </cell>
          <cell r="E158">
            <v>64</v>
          </cell>
          <cell r="F158">
            <v>260</v>
          </cell>
          <cell r="G158">
            <v>324</v>
          </cell>
          <cell r="H158">
            <v>1500</v>
          </cell>
          <cell r="I158">
            <v>486000</v>
          </cell>
          <cell r="J158" t="str">
            <v>Non</v>
          </cell>
          <cell r="K158" t="str">
            <v>Générique</v>
          </cell>
        </row>
        <row r="159">
          <cell r="A159">
            <v>2562</v>
          </cell>
          <cell r="B159" t="str">
            <v>3EH02145AA OXO CONNECT COMPACT R4</v>
          </cell>
          <cell r="C159" t="str">
            <v>OBS</v>
          </cell>
          <cell r="D159" t="str">
            <v>U</v>
          </cell>
          <cell r="E159">
            <v>2</v>
          </cell>
          <cell r="F159">
            <v>23</v>
          </cell>
          <cell r="G159">
            <v>25</v>
          </cell>
          <cell r="H159">
            <v>100773.443990625</v>
          </cell>
          <cell r="I159">
            <v>2519336.0997656253</v>
          </cell>
          <cell r="J159" t="str">
            <v>Oui</v>
          </cell>
          <cell r="K159" t="str">
            <v>Alcatel-Lucent</v>
          </cell>
        </row>
        <row r="160">
          <cell r="A160">
            <v>2564</v>
          </cell>
          <cell r="B160" t="str">
            <v>CP-7911G-CCME Bundle  IP Phone 7911 + Licence Callmanager Express</v>
          </cell>
          <cell r="C160" t="str">
            <v>OBS</v>
          </cell>
          <cell r="D160" t="str">
            <v>U</v>
          </cell>
          <cell r="F160">
            <v>12</v>
          </cell>
          <cell r="G160">
            <v>12</v>
          </cell>
          <cell r="H160">
            <v>85267</v>
          </cell>
          <cell r="I160">
            <v>1023204</v>
          </cell>
          <cell r="J160" t="str">
            <v>Oui</v>
          </cell>
          <cell r="K160" t="str">
            <v>Cisco</v>
          </cell>
        </row>
        <row r="161">
          <cell r="A161">
            <v>2565</v>
          </cell>
          <cell r="B161" t="str">
            <v>ECROU ET VIS DE FIXATION</v>
          </cell>
          <cell r="C161" t="str">
            <v>OBS</v>
          </cell>
          <cell r="D161" t="str">
            <v>U</v>
          </cell>
          <cell r="E161">
            <v>341</v>
          </cell>
          <cell r="G161">
            <v>341</v>
          </cell>
          <cell r="H161">
            <v>150.216872344937</v>
          </cell>
          <cell r="I161">
            <v>51223.953469623521</v>
          </cell>
          <cell r="J161" t="str">
            <v>Non</v>
          </cell>
          <cell r="K161" t="str">
            <v>Local</v>
          </cell>
        </row>
        <row r="162">
          <cell r="A162">
            <v>2569</v>
          </cell>
          <cell r="B162" t="str">
            <v xml:space="preserve">3EH75031AA Kit de liaison pour sauvegarde par batterie externe </v>
          </cell>
          <cell r="C162" t="str">
            <v>OBS</v>
          </cell>
          <cell r="D162" t="str">
            <v>U</v>
          </cell>
          <cell r="E162">
            <v>13</v>
          </cell>
          <cell r="F162">
            <v>35</v>
          </cell>
          <cell r="G162">
            <v>48</v>
          </cell>
          <cell r="H162">
            <v>9887.1159129460502</v>
          </cell>
          <cell r="I162">
            <v>474581.56382141041</v>
          </cell>
          <cell r="J162" t="str">
            <v>Oui</v>
          </cell>
          <cell r="K162" t="str">
            <v>Alcatel-Lucent</v>
          </cell>
        </row>
        <row r="163">
          <cell r="A163">
            <v>2570</v>
          </cell>
          <cell r="B163" t="str">
            <v xml:space="preserve">3EH76155AA Boitier rack pour batteries externes 12V </v>
          </cell>
          <cell r="C163" t="str">
            <v>OBS</v>
          </cell>
          <cell r="D163" t="str">
            <v>U</v>
          </cell>
          <cell r="E163">
            <v>2</v>
          </cell>
          <cell r="F163">
            <v>30</v>
          </cell>
          <cell r="G163">
            <v>32</v>
          </cell>
          <cell r="H163">
            <v>65964.335811871002</v>
          </cell>
          <cell r="I163">
            <v>2110858.7459798721</v>
          </cell>
          <cell r="J163" t="str">
            <v>Oui</v>
          </cell>
          <cell r="K163" t="str">
            <v>Alcatel-Lucent</v>
          </cell>
        </row>
        <row r="164">
          <cell r="A164">
            <v>2571</v>
          </cell>
          <cell r="B164" t="str">
            <v xml:space="preserve">3EH76177AB Boîte pour batterie externe 12V pour OmniPCX Office Rack 1&amp;2  </v>
          </cell>
          <cell r="C164" t="str">
            <v>OBS</v>
          </cell>
          <cell r="D164" t="str">
            <v>U</v>
          </cell>
          <cell r="F164">
            <v>5</v>
          </cell>
          <cell r="G164">
            <v>5</v>
          </cell>
          <cell r="H164">
            <v>26970.1180257575</v>
          </cell>
          <cell r="I164">
            <v>134850.5901287875</v>
          </cell>
          <cell r="J164" t="str">
            <v>Oui</v>
          </cell>
          <cell r="K164" t="str">
            <v>Alcatel-Lucent</v>
          </cell>
        </row>
        <row r="165">
          <cell r="A165">
            <v>2572</v>
          </cell>
          <cell r="B165" t="str">
            <v xml:space="preserve">3EH76177AC Boîte pour batterie externe 36V pour OmniPCX Office Rack 3  </v>
          </cell>
          <cell r="C165" t="str">
            <v>OBS</v>
          </cell>
          <cell r="D165" t="str">
            <v>U</v>
          </cell>
          <cell r="E165">
            <v>3</v>
          </cell>
          <cell r="F165">
            <v>28</v>
          </cell>
          <cell r="G165">
            <v>31</v>
          </cell>
          <cell r="H165">
            <v>22669.193749999999</v>
          </cell>
          <cell r="I165">
            <v>702745.00624999998</v>
          </cell>
          <cell r="J165" t="str">
            <v>Oui</v>
          </cell>
          <cell r="K165" t="str">
            <v>Alcatel-Lucent</v>
          </cell>
        </row>
        <row r="166">
          <cell r="A166">
            <v>2576</v>
          </cell>
          <cell r="B166" t="str">
            <v>3EH02147AA OXO CONNECT MEDIUM - 220V R4</v>
          </cell>
          <cell r="C166" t="str">
            <v>OBS</v>
          </cell>
          <cell r="D166" t="str">
            <v>U</v>
          </cell>
          <cell r="E166">
            <v>1</v>
          </cell>
          <cell r="F166">
            <v>10</v>
          </cell>
          <cell r="G166">
            <v>11</v>
          </cell>
          <cell r="H166">
            <v>205168.77277777699</v>
          </cell>
          <cell r="I166">
            <v>2256856.500555547</v>
          </cell>
          <cell r="J166" t="str">
            <v>Oui</v>
          </cell>
          <cell r="K166" t="str">
            <v>Alcatel-Lucent</v>
          </cell>
        </row>
        <row r="167">
          <cell r="A167">
            <v>2579</v>
          </cell>
          <cell r="B167" t="str">
            <v>N102.127 Covered Patch Guide 2U White</v>
          </cell>
          <cell r="C167" t="str">
            <v>OBS</v>
          </cell>
          <cell r="D167" t="str">
            <v>U</v>
          </cell>
          <cell r="E167">
            <v>6</v>
          </cell>
          <cell r="F167">
            <v>145</v>
          </cell>
          <cell r="G167">
            <v>151</v>
          </cell>
          <cell r="H167">
            <v>12594.980132450301</v>
          </cell>
          <cell r="I167">
            <v>1901841.9999999953</v>
          </cell>
          <cell r="J167" t="str">
            <v>Oui</v>
          </cell>
          <cell r="K167" t="str">
            <v>Nexans</v>
          </cell>
        </row>
        <row r="168">
          <cell r="A168">
            <v>2588</v>
          </cell>
          <cell r="B168" t="str">
            <v>Cordons 2m RJ45 Cat6 certifié</v>
          </cell>
          <cell r="C168" t="str">
            <v>OBS</v>
          </cell>
          <cell r="D168" t="str">
            <v>U</v>
          </cell>
          <cell r="E168">
            <v>50</v>
          </cell>
          <cell r="F168">
            <v>3690</v>
          </cell>
          <cell r="G168">
            <v>3740</v>
          </cell>
          <cell r="H168">
            <v>1500</v>
          </cell>
          <cell r="I168">
            <v>5610000</v>
          </cell>
          <cell r="J168" t="str">
            <v>Non</v>
          </cell>
          <cell r="K168" t="str">
            <v>Générique</v>
          </cell>
        </row>
        <row r="169">
          <cell r="A169">
            <v>2590</v>
          </cell>
          <cell r="B169" t="str">
            <v>N423.540N LANmark EU Style Angled 45 x 45 Module 2 Snap-In White</v>
          </cell>
          <cell r="C169" t="str">
            <v>OBS</v>
          </cell>
          <cell r="D169" t="str">
            <v>U</v>
          </cell>
          <cell r="E169">
            <v>316</v>
          </cell>
          <cell r="F169">
            <v>2411</v>
          </cell>
          <cell r="G169">
            <v>2727</v>
          </cell>
          <cell r="H169">
            <v>1418.0830903323799</v>
          </cell>
          <cell r="I169">
            <v>3867112.5873364001</v>
          </cell>
          <cell r="J169" t="str">
            <v>Oui</v>
          </cell>
          <cell r="K169" t="str">
            <v>Nexans</v>
          </cell>
        </row>
        <row r="170">
          <cell r="A170">
            <v>2591</v>
          </cell>
          <cell r="B170" t="str">
            <v>3EH75007AA MR1 MOUNTING KIT</v>
          </cell>
          <cell r="C170" t="str">
            <v>OBS</v>
          </cell>
          <cell r="D170" t="str">
            <v>U</v>
          </cell>
          <cell r="E170">
            <v>5</v>
          </cell>
          <cell r="F170">
            <v>41</v>
          </cell>
          <cell r="G170">
            <v>46</v>
          </cell>
          <cell r="H170">
            <v>28228.004016609801</v>
          </cell>
          <cell r="I170">
            <v>1298488.1847640509</v>
          </cell>
          <cell r="J170" t="str">
            <v>Oui</v>
          </cell>
          <cell r="K170" t="str">
            <v>Alcatel-Lucent</v>
          </cell>
        </row>
        <row r="171">
          <cell r="A171">
            <v>2592</v>
          </cell>
          <cell r="B171" t="str">
            <v xml:space="preserve">3EH75010AA Kit de montage en rack pour Rack2 </v>
          </cell>
          <cell r="C171" t="str">
            <v>OBS</v>
          </cell>
          <cell r="D171" t="str">
            <v>U</v>
          </cell>
          <cell r="E171">
            <v>8</v>
          </cell>
          <cell r="F171">
            <v>25</v>
          </cell>
          <cell r="G171">
            <v>33</v>
          </cell>
          <cell r="H171">
            <v>19253.186371658601</v>
          </cell>
          <cell r="I171">
            <v>635355.15026473382</v>
          </cell>
          <cell r="J171" t="str">
            <v>Oui</v>
          </cell>
          <cell r="K171" t="str">
            <v>Alcatel-Lucent</v>
          </cell>
        </row>
        <row r="172">
          <cell r="A172">
            <v>2593</v>
          </cell>
          <cell r="B172" t="str">
            <v xml:space="preserve">3EH75001AB Kit de montage en rack pour Rack 3 </v>
          </cell>
          <cell r="C172" t="str">
            <v>OBS</v>
          </cell>
          <cell r="D172" t="str">
            <v>U</v>
          </cell>
          <cell r="F172">
            <v>24</v>
          </cell>
          <cell r="G172">
            <v>24</v>
          </cell>
          <cell r="H172">
            <v>20345.824483950601</v>
          </cell>
          <cell r="I172">
            <v>488299.78761481441</v>
          </cell>
          <cell r="J172" t="str">
            <v>Oui</v>
          </cell>
          <cell r="K172" t="str">
            <v>Alcatel-Lucent</v>
          </cell>
        </row>
        <row r="173">
          <cell r="A173">
            <v>2595</v>
          </cell>
          <cell r="B173" t="str">
            <v>CHEVILLES BLANCHES DE 12</v>
          </cell>
          <cell r="C173" t="str">
            <v>OBS</v>
          </cell>
          <cell r="D173" t="str">
            <v>U</v>
          </cell>
          <cell r="E173">
            <v>1020</v>
          </cell>
          <cell r="G173">
            <v>1020</v>
          </cell>
          <cell r="H173">
            <v>11.046791701913801</v>
          </cell>
          <cell r="I173">
            <v>11267.727535952077</v>
          </cell>
          <cell r="J173" t="str">
            <v>Non</v>
          </cell>
          <cell r="K173" t="str">
            <v>Générique</v>
          </cell>
        </row>
        <row r="174">
          <cell r="A174">
            <v>2603</v>
          </cell>
          <cell r="B174" t="str">
            <v>Jarretière duplex ZIP SC/SC 62,5/125um en 2m</v>
          </cell>
          <cell r="C174" t="str">
            <v>OBS</v>
          </cell>
          <cell r="D174" t="str">
            <v>U</v>
          </cell>
          <cell r="F174">
            <v>5</v>
          </cell>
          <cell r="G174">
            <v>5</v>
          </cell>
          <cell r="H174">
            <v>5025</v>
          </cell>
          <cell r="I174">
            <v>25125</v>
          </cell>
          <cell r="J174" t="str">
            <v>Oui</v>
          </cell>
          <cell r="K174" t="str">
            <v>Générique</v>
          </cell>
        </row>
        <row r="175">
          <cell r="A175">
            <v>2607</v>
          </cell>
          <cell r="B175" t="str">
            <v>SFP-10G-LR= 10GBASE-LR SFP Module</v>
          </cell>
          <cell r="C175" t="str">
            <v>OBS</v>
          </cell>
          <cell r="D175" t="str">
            <v>U</v>
          </cell>
          <cell r="E175">
            <v>1</v>
          </cell>
          <cell r="G175">
            <v>1</v>
          </cell>
          <cell r="H175">
            <v>293578.30816233798</v>
          </cell>
          <cell r="I175">
            <v>293578.30816233798</v>
          </cell>
          <cell r="J175" t="str">
            <v>Oui</v>
          </cell>
          <cell r="K175" t="str">
            <v>Cisco</v>
          </cell>
        </row>
        <row r="176">
          <cell r="A176">
            <v>2612</v>
          </cell>
          <cell r="B176" t="str">
            <v>PLAQUE BLANCHE 75002 LG</v>
          </cell>
          <cell r="C176" t="str">
            <v>OBS</v>
          </cell>
          <cell r="D176" t="str">
            <v>U</v>
          </cell>
          <cell r="F176">
            <v>1</v>
          </cell>
          <cell r="G176">
            <v>1</v>
          </cell>
          <cell r="H176">
            <v>600</v>
          </cell>
          <cell r="I176">
            <v>600</v>
          </cell>
          <cell r="J176" t="str">
            <v>Non</v>
          </cell>
          <cell r="K176" t="str">
            <v>Générique</v>
          </cell>
        </row>
        <row r="177">
          <cell r="A177">
            <v>2616</v>
          </cell>
          <cell r="B177" t="str">
            <v xml:space="preserve">3GV27011FB Poste Alcatel-Lucent 4019 Digital Urban Grey français¿ écran 1x20 caractères¿ navigateur 2 directions¿ écoute amplifiée¿ 6 touches programmables avec LED¿ combiné Standard </v>
          </cell>
          <cell r="C177" t="str">
            <v>OBS</v>
          </cell>
          <cell r="D177" t="str">
            <v>U</v>
          </cell>
          <cell r="E177">
            <v>7</v>
          </cell>
          <cell r="G177">
            <v>7</v>
          </cell>
          <cell r="H177">
            <v>31234</v>
          </cell>
          <cell r="I177">
            <v>218638</v>
          </cell>
          <cell r="J177" t="str">
            <v>Oui</v>
          </cell>
          <cell r="K177" t="str">
            <v>Alcatel-Lucent</v>
          </cell>
        </row>
        <row r="178">
          <cell r="A178">
            <v>2620</v>
          </cell>
          <cell r="B178" t="str">
            <v xml:space="preserve">3GV27061FB ALCATEL 4038 IP TOUCH SET URBAN GREY FR </v>
          </cell>
          <cell r="C178" t="str">
            <v>OBS</v>
          </cell>
          <cell r="D178" t="str">
            <v>U</v>
          </cell>
          <cell r="F178">
            <v>3</v>
          </cell>
          <cell r="G178">
            <v>3</v>
          </cell>
          <cell r="H178">
            <v>134786</v>
          </cell>
          <cell r="I178">
            <v>404358</v>
          </cell>
          <cell r="J178" t="str">
            <v>Oui</v>
          </cell>
          <cell r="K178" t="str">
            <v>Alcatel-Lucent</v>
          </cell>
        </row>
        <row r="179">
          <cell r="A179">
            <v>2622</v>
          </cell>
          <cell r="B179" t="str">
            <v>FIL SOUPLE DE 6mm2</v>
          </cell>
          <cell r="C179" t="str">
            <v>OBS</v>
          </cell>
          <cell r="D179" t="str">
            <v>U</v>
          </cell>
          <cell r="F179">
            <v>250</v>
          </cell>
          <cell r="G179">
            <v>250</v>
          </cell>
          <cell r="H179">
            <v>1047</v>
          </cell>
          <cell r="I179">
            <v>261750</v>
          </cell>
          <cell r="J179" t="str">
            <v>Non</v>
          </cell>
          <cell r="K179" t="str">
            <v>Générique</v>
          </cell>
        </row>
        <row r="180">
          <cell r="A180">
            <v>2623</v>
          </cell>
          <cell r="B180" t="str">
            <v>3MG08021CE 8008G CLOUD EDITION DESKPHONE</v>
          </cell>
          <cell r="C180" t="str">
            <v>OBS</v>
          </cell>
          <cell r="D180" t="str">
            <v>U</v>
          </cell>
          <cell r="E180">
            <v>34</v>
          </cell>
          <cell r="F180">
            <v>60</v>
          </cell>
          <cell r="G180">
            <v>94</v>
          </cell>
          <cell r="H180">
            <v>56674.684800000003</v>
          </cell>
          <cell r="I180">
            <v>5327420.3711999999</v>
          </cell>
          <cell r="J180" t="str">
            <v>Oui</v>
          </cell>
          <cell r="K180" t="str">
            <v>Alcatel-Lucent</v>
          </cell>
        </row>
        <row r="181">
          <cell r="A181">
            <v>2625</v>
          </cell>
          <cell r="B181" t="str">
            <v>3ML37020AB ALE-20 DUAL GE IP DESKPHONE</v>
          </cell>
          <cell r="C181" t="str">
            <v>OBS</v>
          </cell>
          <cell r="D181" t="str">
            <v>U</v>
          </cell>
          <cell r="E181">
            <v>20</v>
          </cell>
          <cell r="F181">
            <v>240</v>
          </cell>
          <cell r="G181">
            <v>260</v>
          </cell>
          <cell r="H181">
            <v>56438.540280000001</v>
          </cell>
          <cell r="I181">
            <v>14674020.4728</v>
          </cell>
          <cell r="J181" t="str">
            <v>OUI</v>
          </cell>
          <cell r="K181" t="str">
            <v>Alcatel-Lucent</v>
          </cell>
        </row>
        <row r="182">
          <cell r="A182">
            <v>2630</v>
          </cell>
          <cell r="B182" t="str">
            <v>PRISE COURANT PLEXO ( EUROPE</v>
          </cell>
          <cell r="C182" t="str">
            <v>OBS</v>
          </cell>
          <cell r="D182" t="str">
            <v>U</v>
          </cell>
          <cell r="E182">
            <v>14</v>
          </cell>
          <cell r="F182">
            <v>253</v>
          </cell>
          <cell r="G182">
            <v>267</v>
          </cell>
          <cell r="H182">
            <v>1946.8786435786401</v>
          </cell>
          <cell r="I182">
            <v>519816.59783549688</v>
          </cell>
          <cell r="J182" t="str">
            <v>Non</v>
          </cell>
          <cell r="K182" t="str">
            <v>Générique</v>
          </cell>
        </row>
        <row r="183">
          <cell r="A183">
            <v>2631</v>
          </cell>
          <cell r="B183" t="str">
            <v>N123.0LTO5 LANmark-OF Patch Cord Duplex LC Duplex ST OM1 LSZH 5m Orange</v>
          </cell>
          <cell r="C183" t="str">
            <v>OBS</v>
          </cell>
          <cell r="D183" t="str">
            <v>U</v>
          </cell>
          <cell r="E183">
            <v>7</v>
          </cell>
          <cell r="G183">
            <v>7</v>
          </cell>
          <cell r="H183">
            <v>8711</v>
          </cell>
          <cell r="I183">
            <v>60977</v>
          </cell>
          <cell r="J183" t="str">
            <v>Oui</v>
          </cell>
          <cell r="K183" t="str">
            <v>Nexans</v>
          </cell>
        </row>
        <row r="184">
          <cell r="A184">
            <v>2637</v>
          </cell>
          <cell r="B184" t="str">
            <v>ROULEAU SCOTCH NOIR</v>
          </cell>
          <cell r="C184" t="str">
            <v>OBS</v>
          </cell>
          <cell r="D184" t="str">
            <v>U</v>
          </cell>
          <cell r="E184">
            <v>87</v>
          </cell>
          <cell r="G184">
            <v>87</v>
          </cell>
          <cell r="H184">
            <v>200</v>
          </cell>
          <cell r="I184">
            <v>17400</v>
          </cell>
          <cell r="J184" t="str">
            <v>non</v>
          </cell>
          <cell r="K184" t="str">
            <v>Générique</v>
          </cell>
        </row>
        <row r="185">
          <cell r="A185">
            <v>2645</v>
          </cell>
          <cell r="B185" t="str">
            <v xml:space="preserve">3EH05017AA Carte fond de panier pour OmniPCX Office Rack3 2eme/3eme génération  </v>
          </cell>
          <cell r="C185" t="str">
            <v>OBS</v>
          </cell>
          <cell r="D185" t="str">
            <v>U</v>
          </cell>
          <cell r="F185">
            <v>2</v>
          </cell>
          <cell r="G185">
            <v>2</v>
          </cell>
          <cell r="H185">
            <v>36412</v>
          </cell>
          <cell r="I185">
            <v>72824</v>
          </cell>
          <cell r="J185" t="str">
            <v>Oui</v>
          </cell>
          <cell r="K185" t="str">
            <v>Alcatel-Lucent</v>
          </cell>
        </row>
        <row r="186">
          <cell r="A186">
            <v>2652</v>
          </cell>
          <cell r="B186" t="str">
            <v>SAVI W445A,U-TT,DECT,UK/EURO/AUS/NZ Réf: 203948-02</v>
          </cell>
          <cell r="C186" t="str">
            <v>OBS</v>
          </cell>
          <cell r="D186" t="str">
            <v>U</v>
          </cell>
          <cell r="F186">
            <v>10</v>
          </cell>
          <cell r="G186">
            <v>10</v>
          </cell>
          <cell r="H186">
            <v>122315</v>
          </cell>
          <cell r="I186">
            <v>1223150</v>
          </cell>
          <cell r="J186" t="str">
            <v>Oui</v>
          </cell>
          <cell r="K186" t="str">
            <v>Générique</v>
          </cell>
        </row>
        <row r="187">
          <cell r="A187">
            <v>2654</v>
          </cell>
          <cell r="B187" t="str">
            <v>CBS350-24T-4G-EU CBS350 Managed 24-port GE, 4x1G SFP</v>
          </cell>
          <cell r="C187" t="str">
            <v>OBS</v>
          </cell>
          <cell r="D187" t="str">
            <v>U</v>
          </cell>
          <cell r="F187">
            <v>4</v>
          </cell>
          <cell r="G187">
            <v>4</v>
          </cell>
          <cell r="H187">
            <v>225942.11300000001</v>
          </cell>
          <cell r="I187">
            <v>903768.45200000005</v>
          </cell>
          <cell r="J187" t="str">
            <v>Oui</v>
          </cell>
          <cell r="K187" t="str">
            <v>Cisco</v>
          </cell>
        </row>
        <row r="188">
          <cell r="A188">
            <v>2655</v>
          </cell>
          <cell r="B188" t="str">
            <v>CISCO887VA-K9 Cisco 887 VDSL/ADSL over POTS Multi-mode Router</v>
          </cell>
          <cell r="C188" t="str">
            <v>OBS</v>
          </cell>
          <cell r="D188" t="str">
            <v>U</v>
          </cell>
          <cell r="F188">
            <v>10</v>
          </cell>
          <cell r="G188">
            <v>10</v>
          </cell>
          <cell r="H188">
            <v>189044</v>
          </cell>
          <cell r="I188">
            <v>1890440</v>
          </cell>
          <cell r="J188" t="str">
            <v>Oui</v>
          </cell>
          <cell r="K188" t="str">
            <v>Cisco</v>
          </cell>
        </row>
        <row r="189">
          <cell r="A189">
            <v>2657</v>
          </cell>
          <cell r="B189" t="str">
            <v>TIRE FOND DE 10</v>
          </cell>
          <cell r="C189" t="str">
            <v>OBS</v>
          </cell>
          <cell r="D189" t="str">
            <v>U</v>
          </cell>
          <cell r="E189">
            <v>415</v>
          </cell>
          <cell r="G189">
            <v>415</v>
          </cell>
          <cell r="H189">
            <v>50</v>
          </cell>
          <cell r="I189">
            <v>20750</v>
          </cell>
          <cell r="J189" t="str">
            <v>Non</v>
          </cell>
          <cell r="K189" t="str">
            <v>Générique</v>
          </cell>
        </row>
        <row r="190">
          <cell r="A190">
            <v>2661</v>
          </cell>
          <cell r="B190" t="str">
            <v>Câble téléphonique 14P (99 14 8)</v>
          </cell>
          <cell r="C190" t="str">
            <v>OBS</v>
          </cell>
          <cell r="D190" t="str">
            <v>U</v>
          </cell>
          <cell r="F190">
            <v>65</v>
          </cell>
          <cell r="G190">
            <v>65</v>
          </cell>
          <cell r="H190">
            <v>1231</v>
          </cell>
          <cell r="I190">
            <v>80015</v>
          </cell>
          <cell r="J190" t="str">
            <v>Non</v>
          </cell>
          <cell r="K190" t="str">
            <v>Générique</v>
          </cell>
        </row>
        <row r="191">
          <cell r="A191">
            <v>2663</v>
          </cell>
          <cell r="B191" t="str">
            <v>Câble téléphonique 28P (74 28 8)</v>
          </cell>
          <cell r="C191" t="str">
            <v>OBS</v>
          </cell>
          <cell r="D191" t="str">
            <v>U</v>
          </cell>
          <cell r="F191">
            <v>10</v>
          </cell>
          <cell r="G191">
            <v>10</v>
          </cell>
          <cell r="H191">
            <v>2112</v>
          </cell>
          <cell r="I191">
            <v>21120</v>
          </cell>
          <cell r="J191" t="str">
            <v>Non</v>
          </cell>
          <cell r="K191" t="str">
            <v>Générique</v>
          </cell>
        </row>
        <row r="192">
          <cell r="A192">
            <v>2665</v>
          </cell>
          <cell r="B192" t="str">
            <v xml:space="preserve">3BA27013AB Disque dur SATA pour carte CPU ou 4635  </v>
          </cell>
          <cell r="C192" t="str">
            <v>OBS</v>
          </cell>
          <cell r="D192" t="str">
            <v>U</v>
          </cell>
          <cell r="E192">
            <v>1</v>
          </cell>
          <cell r="G192">
            <v>1</v>
          </cell>
          <cell r="H192">
            <v>96283</v>
          </cell>
          <cell r="I192">
            <v>96283</v>
          </cell>
          <cell r="J192" t="str">
            <v>Oui</v>
          </cell>
          <cell r="K192" t="str">
            <v>Alcatel-Lucent</v>
          </cell>
        </row>
        <row r="193">
          <cell r="A193">
            <v>2668</v>
          </cell>
          <cell r="B193" t="str">
            <v>Câble téléphonique 28P (99 28 8)</v>
          </cell>
          <cell r="C193" t="str">
            <v>OBS</v>
          </cell>
          <cell r="D193" t="str">
            <v>U</v>
          </cell>
          <cell r="F193">
            <v>220</v>
          </cell>
          <cell r="G193">
            <v>220</v>
          </cell>
          <cell r="H193">
            <v>2227</v>
          </cell>
          <cell r="I193">
            <v>489940</v>
          </cell>
          <cell r="J193" t="str">
            <v>Non</v>
          </cell>
          <cell r="K193" t="str">
            <v>Générique</v>
          </cell>
        </row>
        <row r="194">
          <cell r="A194">
            <v>2670</v>
          </cell>
          <cell r="B194" t="str">
            <v>Câble téléphonique 56P (74 56 8)</v>
          </cell>
          <cell r="C194" t="str">
            <v>OBS</v>
          </cell>
          <cell r="D194" t="str">
            <v>U</v>
          </cell>
          <cell r="F194">
            <v>180</v>
          </cell>
          <cell r="G194">
            <v>180</v>
          </cell>
          <cell r="H194">
            <v>2841.605724</v>
          </cell>
          <cell r="I194">
            <v>511489.03032000002</v>
          </cell>
          <cell r="J194" t="str">
            <v>Non</v>
          </cell>
          <cell r="K194" t="str">
            <v>Générique</v>
          </cell>
        </row>
        <row r="195">
          <cell r="A195">
            <v>2673</v>
          </cell>
          <cell r="B195" t="str">
            <v>CP-PWR-CORD-CE=7900 Series Transformer Power Cord, Central Europe</v>
          </cell>
          <cell r="C195" t="str">
            <v>OBS</v>
          </cell>
          <cell r="D195" t="str">
            <v>U</v>
          </cell>
          <cell r="F195">
            <v>13</v>
          </cell>
          <cell r="G195">
            <v>13</v>
          </cell>
          <cell r="H195">
            <v>2491</v>
          </cell>
          <cell r="I195">
            <v>32383</v>
          </cell>
          <cell r="J195" t="str">
            <v>Oui</v>
          </cell>
          <cell r="K195" t="str">
            <v>Cisco</v>
          </cell>
        </row>
        <row r="196">
          <cell r="A196">
            <v>2674</v>
          </cell>
          <cell r="B196" t="str">
            <v>ARMOIRE INFORMATIQUE  6U 600X600</v>
          </cell>
          <cell r="C196" t="str">
            <v>OBS</v>
          </cell>
          <cell r="D196" t="str">
            <v>U</v>
          </cell>
          <cell r="E196">
            <v>6</v>
          </cell>
          <cell r="F196">
            <v>4</v>
          </cell>
          <cell r="G196">
            <v>10</v>
          </cell>
          <cell r="H196">
            <v>48109.504132231399</v>
          </cell>
          <cell r="I196">
            <v>481095.04132231401</v>
          </cell>
          <cell r="J196" t="str">
            <v>Non</v>
          </cell>
          <cell r="K196" t="str">
            <v>Générique</v>
          </cell>
        </row>
        <row r="197">
          <cell r="A197">
            <v>2677</v>
          </cell>
          <cell r="B197" t="str">
            <v>CONNECTEUR ST HOT MELT MM 125 U M</v>
          </cell>
          <cell r="C197" t="str">
            <v>OBS</v>
          </cell>
          <cell r="D197" t="str">
            <v>U</v>
          </cell>
          <cell r="F197">
            <v>291</v>
          </cell>
          <cell r="G197">
            <v>291</v>
          </cell>
          <cell r="H197">
            <v>9118</v>
          </cell>
          <cell r="I197">
            <v>2653338</v>
          </cell>
          <cell r="J197" t="str">
            <v>Non</v>
          </cell>
          <cell r="K197" t="str">
            <v>Générique</v>
          </cell>
        </row>
        <row r="198">
          <cell r="A198">
            <v>2678</v>
          </cell>
          <cell r="B198" t="str">
            <v>COVER PLAT MOUNTING N 200 050</v>
          </cell>
          <cell r="C198" t="str">
            <v>OBS</v>
          </cell>
          <cell r="D198" t="str">
            <v>U</v>
          </cell>
          <cell r="F198">
            <v>989</v>
          </cell>
          <cell r="G198">
            <v>989</v>
          </cell>
          <cell r="H198">
            <v>754</v>
          </cell>
          <cell r="I198">
            <v>745706</v>
          </cell>
          <cell r="J198" t="str">
            <v>Non</v>
          </cell>
          <cell r="K198" t="str">
            <v>Générique</v>
          </cell>
        </row>
        <row r="199">
          <cell r="A199">
            <v>2680</v>
          </cell>
          <cell r="B199" t="str">
            <v>ETAGERE 19 POUCES 600x600</v>
          </cell>
          <cell r="C199" t="str">
            <v>OBS</v>
          </cell>
          <cell r="D199" t="str">
            <v>U</v>
          </cell>
          <cell r="E199">
            <v>6</v>
          </cell>
          <cell r="F199">
            <v>30</v>
          </cell>
          <cell r="G199">
            <v>36</v>
          </cell>
          <cell r="H199">
            <v>12357.1428571428</v>
          </cell>
          <cell r="I199">
            <v>444857.1428571408</v>
          </cell>
          <cell r="J199" t="str">
            <v>Non</v>
          </cell>
          <cell r="K199" t="str">
            <v>Générique</v>
          </cell>
        </row>
        <row r="200">
          <cell r="A200">
            <v>2681</v>
          </cell>
          <cell r="B200" t="str">
            <v>3ML27420AA ALE-400 Dual Gigabit Ethernet Enterprise Desk Phone with Cordless Handset, Dual Stack NOE-SIP, 4.3 inch 480x272 color touch display, HD Audio, 2 USB-C, WLAN-Bluetooth.Ships without Network cable.</v>
          </cell>
          <cell r="C200" t="str">
            <v>OBS</v>
          </cell>
          <cell r="D200" t="str">
            <v>U</v>
          </cell>
          <cell r="E200">
            <v>9</v>
          </cell>
          <cell r="F200">
            <v>123</v>
          </cell>
          <cell r="G200">
            <v>132</v>
          </cell>
          <cell r="H200">
            <v>147632.49385714199</v>
          </cell>
          <cell r="I200">
            <v>19487489.189142741</v>
          </cell>
          <cell r="J200" t="str">
            <v>Oui</v>
          </cell>
          <cell r="K200" t="str">
            <v>Alcatel-Lucent</v>
          </cell>
        </row>
        <row r="201">
          <cell r="A201">
            <v>2690</v>
          </cell>
          <cell r="B201" t="str">
            <v xml:space="preserve">3BA57204AA REDRESSEUR 48V 16A </v>
          </cell>
          <cell r="C201" t="str">
            <v>OBS</v>
          </cell>
          <cell r="D201" t="str">
            <v>U</v>
          </cell>
          <cell r="F201">
            <v>1</v>
          </cell>
          <cell r="G201">
            <v>1</v>
          </cell>
          <cell r="H201">
            <v>167375</v>
          </cell>
          <cell r="I201">
            <v>167375</v>
          </cell>
          <cell r="J201" t="str">
            <v>Oui</v>
          </cell>
          <cell r="K201" t="str">
            <v>Alcatel-Lucent</v>
          </cell>
        </row>
        <row r="202">
          <cell r="A202">
            <v>2701</v>
          </cell>
          <cell r="B202" t="str">
            <v>FICHE MALE RJ 11</v>
          </cell>
          <cell r="C202" t="str">
            <v>OBS</v>
          </cell>
          <cell r="D202" t="str">
            <v>U</v>
          </cell>
          <cell r="E202">
            <v>69</v>
          </cell>
          <cell r="F202">
            <v>78</v>
          </cell>
          <cell r="G202">
            <v>147</v>
          </cell>
          <cell r="H202">
            <v>889.23195876288605</v>
          </cell>
          <cell r="I202">
            <v>130717.09793814424</v>
          </cell>
          <cell r="J202" t="str">
            <v>Non</v>
          </cell>
          <cell r="K202" t="str">
            <v>Générique</v>
          </cell>
        </row>
        <row r="203">
          <cell r="A203">
            <v>2702</v>
          </cell>
          <cell r="B203" t="str">
            <v>LAPPING FILME 6192A</v>
          </cell>
          <cell r="C203" t="str">
            <v>OBS</v>
          </cell>
          <cell r="D203" t="str">
            <v>U</v>
          </cell>
          <cell r="F203">
            <v>1300</v>
          </cell>
          <cell r="G203">
            <v>1300</v>
          </cell>
          <cell r="H203">
            <v>3</v>
          </cell>
          <cell r="I203">
            <v>3900</v>
          </cell>
          <cell r="J203" t="str">
            <v>Oui</v>
          </cell>
          <cell r="K203" t="str">
            <v>Générique</v>
          </cell>
        </row>
        <row r="204">
          <cell r="A204">
            <v>2706</v>
          </cell>
          <cell r="B204" t="str">
            <v>ROULEAU SCOTCH PAPIER BEIGE</v>
          </cell>
          <cell r="C204" t="str">
            <v>OBS</v>
          </cell>
          <cell r="D204" t="str">
            <v>U</v>
          </cell>
          <cell r="E204">
            <v>96</v>
          </cell>
          <cell r="G204">
            <v>96</v>
          </cell>
          <cell r="H204">
            <v>475</v>
          </cell>
          <cell r="I204">
            <v>45600</v>
          </cell>
          <cell r="J204" t="str">
            <v>Non</v>
          </cell>
          <cell r="K204" t="str">
            <v>Générique</v>
          </cell>
        </row>
        <row r="205">
          <cell r="A205">
            <v>2718</v>
          </cell>
          <cell r="B205" t="str">
            <v>N423.520 LANmark EU Style Angled 45 x 45 Module 1 Snap-In White _ LOCAL</v>
          </cell>
          <cell r="C205" t="str">
            <v>OBS</v>
          </cell>
          <cell r="D205" t="str">
            <v>U</v>
          </cell>
          <cell r="F205">
            <v>241</v>
          </cell>
          <cell r="G205">
            <v>241</v>
          </cell>
          <cell r="H205">
            <v>1200</v>
          </cell>
          <cell r="I205">
            <v>289200</v>
          </cell>
          <cell r="J205" t="str">
            <v>Non</v>
          </cell>
          <cell r="K205" t="str">
            <v>Local</v>
          </cell>
        </row>
        <row r="206">
          <cell r="A206">
            <v>2722</v>
          </cell>
          <cell r="B206" t="str">
            <v>3MK27013AA ALE- 2 DESKPHONE SIP</v>
          </cell>
          <cell r="C206" t="str">
            <v>OBS</v>
          </cell>
          <cell r="D206" t="str">
            <v>U</v>
          </cell>
          <cell r="F206">
            <v>96</v>
          </cell>
          <cell r="G206">
            <v>96</v>
          </cell>
          <cell r="H206">
            <v>41128.503900000003</v>
          </cell>
          <cell r="I206">
            <v>3948336.3744000001</v>
          </cell>
          <cell r="J206" t="str">
            <v>Oui</v>
          </cell>
          <cell r="K206" t="str">
            <v>Alcatel-Lucent</v>
          </cell>
        </row>
        <row r="207">
          <cell r="A207">
            <v>2848</v>
          </cell>
          <cell r="B207" t="str">
            <v>N123.5CCA5 LANmark-OF Patch cord duplex SC  duplex SC  OM3 LSZH 5m Aqua</v>
          </cell>
          <cell r="C207" t="str">
            <v>OBS</v>
          </cell>
          <cell r="D207" t="str">
            <v>U</v>
          </cell>
          <cell r="E207">
            <v>2</v>
          </cell>
          <cell r="F207">
            <v>2</v>
          </cell>
          <cell r="G207">
            <v>4</v>
          </cell>
          <cell r="H207">
            <v>7353</v>
          </cell>
          <cell r="I207">
            <v>29412</v>
          </cell>
          <cell r="J207" t="str">
            <v>Oui</v>
          </cell>
          <cell r="K207" t="str">
            <v>Nexans</v>
          </cell>
        </row>
        <row r="208">
          <cell r="A208">
            <v>2853</v>
          </cell>
          <cell r="B208" t="str">
            <v>CP-7914=7914 IP Phone Expansion Module</v>
          </cell>
          <cell r="C208" t="str">
            <v>OBS</v>
          </cell>
          <cell r="D208" t="str">
            <v>U</v>
          </cell>
          <cell r="F208">
            <v>3</v>
          </cell>
          <cell r="G208">
            <v>3</v>
          </cell>
          <cell r="H208">
            <v>124369</v>
          </cell>
          <cell r="I208">
            <v>373107</v>
          </cell>
          <cell r="J208" t="str">
            <v>Oui</v>
          </cell>
          <cell r="K208" t="str">
            <v>Cisco</v>
          </cell>
        </row>
        <row r="209">
          <cell r="A209">
            <v>2855</v>
          </cell>
          <cell r="B209" t="str">
            <v>3MG27021AA Wireless handset Bluetooth® Black for Alcatel-Lucent 8082 My IC Phone¿ including T</v>
          </cell>
          <cell r="C209" t="str">
            <v>OBS</v>
          </cell>
          <cell r="D209" t="str">
            <v>U</v>
          </cell>
          <cell r="E209">
            <v>1</v>
          </cell>
          <cell r="F209">
            <v>1</v>
          </cell>
          <cell r="G209">
            <v>2</v>
          </cell>
          <cell r="H209">
            <v>46901</v>
          </cell>
          <cell r="I209">
            <v>93802</v>
          </cell>
          <cell r="J209" t="str">
            <v>Oui</v>
          </cell>
          <cell r="K209" t="str">
            <v>Alcatel-Lucent</v>
          </cell>
        </row>
        <row r="210">
          <cell r="A210">
            <v>2860</v>
          </cell>
          <cell r="B210" t="str">
            <v>ANGLE PLAT VARIABLE 100x50</v>
          </cell>
          <cell r="C210" t="str">
            <v>OBS</v>
          </cell>
          <cell r="D210" t="str">
            <v>U</v>
          </cell>
          <cell r="F210">
            <v>50</v>
          </cell>
          <cell r="G210">
            <v>50</v>
          </cell>
          <cell r="H210">
            <v>2500</v>
          </cell>
          <cell r="I210">
            <v>125000</v>
          </cell>
          <cell r="J210" t="str">
            <v>Non</v>
          </cell>
          <cell r="K210" t="str">
            <v>Générique</v>
          </cell>
        </row>
        <row r="211">
          <cell r="A211">
            <v>2862</v>
          </cell>
          <cell r="B211" t="str">
            <v>3EH73050AB Carte UAI16-1 _MDP</v>
          </cell>
          <cell r="C211" t="str">
            <v>OBS</v>
          </cell>
          <cell r="D211" t="str">
            <v>U</v>
          </cell>
          <cell r="F211">
            <v>1</v>
          </cell>
          <cell r="G211">
            <v>1</v>
          </cell>
          <cell r="H211">
            <v>251404</v>
          </cell>
          <cell r="I211">
            <v>251404</v>
          </cell>
          <cell r="J211" t="str">
            <v>Oui</v>
          </cell>
          <cell r="K211" t="str">
            <v>Alcatel-Lucent</v>
          </cell>
        </row>
        <row r="212">
          <cell r="A212">
            <v>2864</v>
          </cell>
          <cell r="B212" t="str">
            <v>3BA23275AB ARMADA DAUGHTER BOARD</v>
          </cell>
          <cell r="C212" t="str">
            <v>OBS</v>
          </cell>
          <cell r="D212" t="str">
            <v>U</v>
          </cell>
          <cell r="F212">
            <v>12</v>
          </cell>
          <cell r="G212">
            <v>12</v>
          </cell>
          <cell r="H212">
            <v>737498.91144166596</v>
          </cell>
          <cell r="I212">
            <v>8849986.937299991</v>
          </cell>
          <cell r="J212" t="str">
            <v>Oui</v>
          </cell>
          <cell r="K212" t="str">
            <v>Alcatel-Lucent</v>
          </cell>
        </row>
        <row r="213">
          <cell r="A213">
            <v>2865</v>
          </cell>
          <cell r="B213" t="str">
            <v>3EH75034AA OMNIPCX CORDON SECTEUR DROIT EU</v>
          </cell>
          <cell r="C213" t="str">
            <v>OBS</v>
          </cell>
          <cell r="D213" t="str">
            <v>U</v>
          </cell>
          <cell r="E213">
            <v>22</v>
          </cell>
          <cell r="G213">
            <v>22</v>
          </cell>
          <cell r="H213">
            <v>4591.6989999999996</v>
          </cell>
          <cell r="I213">
            <v>101017.378</v>
          </cell>
          <cell r="J213" t="str">
            <v>Oui</v>
          </cell>
          <cell r="K213" t="str">
            <v>Alcatel-Lucent</v>
          </cell>
        </row>
        <row r="214">
          <cell r="A214">
            <v>2876</v>
          </cell>
          <cell r="B214" t="str">
            <v>N164.MCPE24B Câble LANmark-OS2 MC (multi tubes armée acier) 24x fibres Monomode 9/125 OS2 PE Noire</v>
          </cell>
          <cell r="C214" t="str">
            <v>OBS</v>
          </cell>
          <cell r="D214" t="str">
            <v>U</v>
          </cell>
          <cell r="F214">
            <v>238</v>
          </cell>
          <cell r="G214">
            <v>238</v>
          </cell>
          <cell r="H214">
            <v>510.44499999999999</v>
          </cell>
          <cell r="I214">
            <v>121485.91</v>
          </cell>
          <cell r="J214" t="str">
            <v>Oui</v>
          </cell>
          <cell r="K214" t="str">
            <v>Nexans</v>
          </cell>
        </row>
        <row r="215">
          <cell r="A215">
            <v>2891</v>
          </cell>
          <cell r="B215" t="str">
            <v>Tiroir 19" Coulissant 1U 12 FO SC/APC G.657A2 Couleur Équipé Réf : 91 882</v>
          </cell>
          <cell r="C215" t="str">
            <v>OBS</v>
          </cell>
          <cell r="D215" t="str">
            <v>U</v>
          </cell>
          <cell r="E215">
            <v>4</v>
          </cell>
          <cell r="G215">
            <v>4</v>
          </cell>
          <cell r="H215">
            <v>63777.5</v>
          </cell>
          <cell r="I215">
            <v>255110</v>
          </cell>
          <cell r="J215" t="str">
            <v>Non</v>
          </cell>
          <cell r="K215" t="str">
            <v>Générique</v>
          </cell>
        </row>
        <row r="216">
          <cell r="A216">
            <v>2892</v>
          </cell>
          <cell r="B216" t="str">
            <v>CAB-TA-EU= Europe AC Type A Power Cable</v>
          </cell>
          <cell r="C216" t="str">
            <v>OBS</v>
          </cell>
          <cell r="D216" t="str">
            <v>U</v>
          </cell>
          <cell r="E216">
            <v>6</v>
          </cell>
          <cell r="G216">
            <v>6</v>
          </cell>
          <cell r="H216">
            <v>11425.2284596021</v>
          </cell>
          <cell r="I216">
            <v>68551.370757612603</v>
          </cell>
          <cell r="J216" t="str">
            <v>Oui</v>
          </cell>
          <cell r="K216" t="str">
            <v>Cisco</v>
          </cell>
        </row>
        <row r="217">
          <cell r="A217">
            <v>2895</v>
          </cell>
          <cell r="B217" t="str">
            <v>COLLIER COLSON 31910</v>
          </cell>
          <cell r="C217" t="str">
            <v>OBS</v>
          </cell>
          <cell r="D217" t="str">
            <v>U</v>
          </cell>
          <cell r="E217">
            <v>2400</v>
          </cell>
          <cell r="G217">
            <v>2400</v>
          </cell>
          <cell r="H217">
            <v>30.836964014782598</v>
          </cell>
          <cell r="I217">
            <v>74008.713635478241</v>
          </cell>
          <cell r="J217" t="str">
            <v>Non</v>
          </cell>
          <cell r="K217" t="str">
            <v>Générique</v>
          </cell>
        </row>
        <row r="218">
          <cell r="A218">
            <v>2896</v>
          </cell>
          <cell r="B218" t="str">
            <v>COLLIER COLSON 31922</v>
          </cell>
          <cell r="C218" t="str">
            <v>OBS</v>
          </cell>
          <cell r="D218" t="str">
            <v>U</v>
          </cell>
          <cell r="E218">
            <v>2600</v>
          </cell>
          <cell r="F218">
            <v>46</v>
          </cell>
          <cell r="G218">
            <v>2646</v>
          </cell>
          <cell r="H218">
            <v>32.720345640219897</v>
          </cell>
          <cell r="I218">
            <v>86578.034564021844</v>
          </cell>
          <cell r="J218" t="str">
            <v>Non</v>
          </cell>
          <cell r="K218" t="str">
            <v>Générique</v>
          </cell>
        </row>
        <row r="219">
          <cell r="A219">
            <v>2898</v>
          </cell>
          <cell r="B219" t="str">
            <v>Panneau FTP Cat5e 24 Ports Générique</v>
          </cell>
          <cell r="C219" t="str">
            <v>OBS</v>
          </cell>
          <cell r="D219" t="str">
            <v>U</v>
          </cell>
          <cell r="E219">
            <v>3</v>
          </cell>
          <cell r="G219">
            <v>3</v>
          </cell>
          <cell r="H219">
            <v>28500</v>
          </cell>
          <cell r="I219">
            <v>85500</v>
          </cell>
          <cell r="J219" t="str">
            <v>Non</v>
          </cell>
          <cell r="K219" t="str">
            <v>Générique</v>
          </cell>
        </row>
        <row r="220">
          <cell r="A220">
            <v>2899</v>
          </cell>
          <cell r="B220" t="str">
            <v>Adaptateur US/FR Réf : AUT001</v>
          </cell>
          <cell r="C220" t="str">
            <v>OBS</v>
          </cell>
          <cell r="D220" t="str">
            <v>U</v>
          </cell>
          <cell r="E220">
            <v>112</v>
          </cell>
          <cell r="G220">
            <v>112</v>
          </cell>
          <cell r="H220">
            <v>450</v>
          </cell>
          <cell r="I220">
            <v>50400</v>
          </cell>
          <cell r="J220" t="str">
            <v>Non</v>
          </cell>
          <cell r="K220" t="str">
            <v>Générique</v>
          </cell>
        </row>
        <row r="221">
          <cell r="A221">
            <v>2906</v>
          </cell>
          <cell r="B221" t="str">
            <v>N165.TBUN06 LANmark-OF Tight Buffer Universal 6x Multimode 50/125 OM3 LSZH Black</v>
          </cell>
          <cell r="C221" t="str">
            <v>OBS</v>
          </cell>
          <cell r="D221" t="str">
            <v>U</v>
          </cell>
          <cell r="F221">
            <v>380</v>
          </cell>
          <cell r="G221">
            <v>380</v>
          </cell>
          <cell r="H221">
            <v>867</v>
          </cell>
          <cell r="I221">
            <v>329460</v>
          </cell>
          <cell r="J221" t="str">
            <v>Oui</v>
          </cell>
          <cell r="K221" t="str">
            <v>Nexans</v>
          </cell>
        </row>
        <row r="222">
          <cell r="A222">
            <v>2909</v>
          </cell>
          <cell r="B222" t="str">
            <v>ARMOIRE INFORMATIQUE 12U 600X600</v>
          </cell>
          <cell r="C222" t="str">
            <v>OBS</v>
          </cell>
          <cell r="D222" t="str">
            <v>U</v>
          </cell>
          <cell r="E222">
            <v>3</v>
          </cell>
          <cell r="F222">
            <v>5</v>
          </cell>
          <cell r="G222">
            <v>8</v>
          </cell>
          <cell r="H222">
            <v>108000</v>
          </cell>
          <cell r="I222">
            <v>864000</v>
          </cell>
          <cell r="J222" t="str">
            <v>non</v>
          </cell>
          <cell r="K222" t="str">
            <v>Générique</v>
          </cell>
        </row>
        <row r="223">
          <cell r="A223">
            <v>2915</v>
          </cell>
          <cell r="B223" t="str">
            <v>Guide Cordon 2HU _MDP</v>
          </cell>
          <cell r="C223" t="str">
            <v>OBS</v>
          </cell>
          <cell r="D223" t="str">
            <v>U</v>
          </cell>
          <cell r="E223">
            <v>5</v>
          </cell>
          <cell r="G223">
            <v>5</v>
          </cell>
          <cell r="H223">
            <v>18461</v>
          </cell>
          <cell r="I223">
            <v>92305</v>
          </cell>
          <cell r="J223" t="str">
            <v>Non</v>
          </cell>
          <cell r="K223" t="str">
            <v>Générique</v>
          </cell>
        </row>
        <row r="224">
          <cell r="A224">
            <v>2921</v>
          </cell>
          <cell r="B224" t="str">
            <v>Coffrets de Brassage RACK SYSTEMS 18U en 600X600</v>
          </cell>
          <cell r="C224" t="str">
            <v>OBS</v>
          </cell>
          <cell r="D224" t="str">
            <v>U</v>
          </cell>
          <cell r="F224">
            <v>4</v>
          </cell>
          <cell r="G224">
            <v>4</v>
          </cell>
          <cell r="H224">
            <v>185762.714285714</v>
          </cell>
          <cell r="I224">
            <v>743050.857142856</v>
          </cell>
          <cell r="J224" t="str">
            <v>Non</v>
          </cell>
          <cell r="K224" t="str">
            <v>Générique</v>
          </cell>
        </row>
        <row r="225">
          <cell r="A225">
            <v>2924</v>
          </cell>
          <cell r="B225" t="str">
            <v>ATTACHE 7 PLASTIQUE</v>
          </cell>
          <cell r="C225" t="str">
            <v>OBS</v>
          </cell>
          <cell r="D225" t="str">
            <v>U</v>
          </cell>
          <cell r="E225">
            <v>1</v>
          </cell>
          <cell r="G225">
            <v>1</v>
          </cell>
          <cell r="H225">
            <v>1000</v>
          </cell>
          <cell r="I225">
            <v>1000</v>
          </cell>
          <cell r="J225" t="str">
            <v>Non</v>
          </cell>
          <cell r="K225" t="str">
            <v>Générique</v>
          </cell>
        </row>
        <row r="226">
          <cell r="A226">
            <v>2925</v>
          </cell>
          <cell r="B226" t="str">
            <v>CP-7961G-CCME Bundle  IP Phone 7961 + Licence Callmanager Express</v>
          </cell>
          <cell r="C226" t="str">
            <v>OBS</v>
          </cell>
          <cell r="D226" t="str">
            <v>U</v>
          </cell>
          <cell r="F226">
            <v>1</v>
          </cell>
          <cell r="G226">
            <v>1</v>
          </cell>
          <cell r="H226">
            <v>161831</v>
          </cell>
          <cell r="I226">
            <v>161831</v>
          </cell>
          <cell r="J226" t="str">
            <v>Oui</v>
          </cell>
          <cell r="K226" t="str">
            <v>Cisco</v>
          </cell>
        </row>
        <row r="227">
          <cell r="A227">
            <v>2931</v>
          </cell>
          <cell r="B227" t="str">
            <v>N100.164 Essential-6 U/UTP AWG24 Cat 6 LSZH Orange 500m reel</v>
          </cell>
          <cell r="C227" t="str">
            <v>OBS</v>
          </cell>
          <cell r="D227" t="str">
            <v>U</v>
          </cell>
          <cell r="F227">
            <v>35</v>
          </cell>
          <cell r="G227">
            <v>35</v>
          </cell>
          <cell r="H227">
            <v>396</v>
          </cell>
          <cell r="I227">
            <v>13860</v>
          </cell>
          <cell r="J227" t="str">
            <v>Oui</v>
          </cell>
          <cell r="K227" t="str">
            <v>Nexans</v>
          </cell>
        </row>
        <row r="228">
          <cell r="A228">
            <v>2935</v>
          </cell>
          <cell r="B228" t="str">
            <v>N420.116 Essential-6 Keystone Connector Cat 6 Unscreened</v>
          </cell>
          <cell r="C228" t="str">
            <v>OBS</v>
          </cell>
          <cell r="D228" t="str">
            <v>U</v>
          </cell>
          <cell r="E228">
            <v>18</v>
          </cell>
          <cell r="G228">
            <v>18</v>
          </cell>
          <cell r="H228">
            <v>2002</v>
          </cell>
          <cell r="I228">
            <v>36036</v>
          </cell>
          <cell r="J228" t="str">
            <v>Oui</v>
          </cell>
          <cell r="K228" t="str">
            <v>Nexans</v>
          </cell>
        </row>
        <row r="229">
          <cell r="A229">
            <v>2939</v>
          </cell>
          <cell r="B229" t="str">
            <v>BLOC MULTIPRISE 8 2P+T</v>
          </cell>
          <cell r="C229" t="str">
            <v>OBS</v>
          </cell>
          <cell r="D229" t="str">
            <v>U</v>
          </cell>
          <cell r="E229">
            <v>118</v>
          </cell>
          <cell r="G229">
            <v>118</v>
          </cell>
          <cell r="H229">
            <v>15000</v>
          </cell>
          <cell r="I229">
            <v>1770000</v>
          </cell>
          <cell r="J229" t="str">
            <v>Non</v>
          </cell>
          <cell r="K229" t="str">
            <v>Générique</v>
          </cell>
        </row>
        <row r="230">
          <cell r="A230">
            <v>2950</v>
          </cell>
          <cell r="B230" t="str">
            <v>3EH77092AB ANALOG INTERFACES SLI16-2 BOARD</v>
          </cell>
          <cell r="C230" t="str">
            <v>OBS</v>
          </cell>
          <cell r="D230" t="str">
            <v>U</v>
          </cell>
          <cell r="F230">
            <v>19</v>
          </cell>
          <cell r="G230">
            <v>19</v>
          </cell>
          <cell r="H230">
            <v>404200.7034</v>
          </cell>
          <cell r="I230">
            <v>7679813.3646</v>
          </cell>
          <cell r="J230" t="str">
            <v>Oui</v>
          </cell>
          <cell r="K230" t="str">
            <v>Alcatel-Lucent</v>
          </cell>
        </row>
        <row r="231">
          <cell r="A231">
            <v>2953</v>
          </cell>
          <cell r="B231" t="str">
            <v>3BA00728AV  MR1 SERVER CS-2 PACK (48V)</v>
          </cell>
          <cell r="C231" t="str">
            <v>OBS</v>
          </cell>
          <cell r="D231" t="str">
            <v>U</v>
          </cell>
          <cell r="E231">
            <v>1</v>
          </cell>
          <cell r="F231">
            <v>2</v>
          </cell>
          <cell r="G231">
            <v>3</v>
          </cell>
          <cell r="H231">
            <v>916870</v>
          </cell>
          <cell r="I231">
            <v>2750610</v>
          </cell>
          <cell r="J231" t="str">
            <v>Oui</v>
          </cell>
          <cell r="K231" t="str">
            <v>Alcatel-Lucent</v>
          </cell>
        </row>
        <row r="232">
          <cell r="A232">
            <v>2958</v>
          </cell>
          <cell r="B232" t="str">
            <v>3EH01213AA OXO CONNECT LARGE - 150W R6 - STOCK</v>
          </cell>
          <cell r="C232" t="str">
            <v>OBS</v>
          </cell>
          <cell r="D232" t="str">
            <v>U</v>
          </cell>
          <cell r="E232">
            <v>3</v>
          </cell>
          <cell r="F232">
            <v>13</v>
          </cell>
          <cell r="G232">
            <v>16</v>
          </cell>
          <cell r="H232">
            <v>231905.845130909</v>
          </cell>
          <cell r="I232">
            <v>3710493.522094544</v>
          </cell>
          <cell r="J232" t="str">
            <v>Oui</v>
          </cell>
          <cell r="K232" t="str">
            <v>Alcatel-Lucent</v>
          </cell>
        </row>
        <row r="233">
          <cell r="A233">
            <v>2963</v>
          </cell>
          <cell r="B233" t="str">
            <v>Panneau UTP 5e 24 Ports générique</v>
          </cell>
          <cell r="C233" t="str">
            <v>OBS</v>
          </cell>
          <cell r="D233" t="str">
            <v>U</v>
          </cell>
          <cell r="F233">
            <v>2</v>
          </cell>
          <cell r="G233">
            <v>2</v>
          </cell>
          <cell r="H233">
            <v>20000</v>
          </cell>
          <cell r="I233">
            <v>40000</v>
          </cell>
          <cell r="J233" t="str">
            <v>Non</v>
          </cell>
          <cell r="K233" t="str">
            <v>Générique</v>
          </cell>
        </row>
        <row r="234">
          <cell r="A234">
            <v>2977</v>
          </cell>
          <cell r="B234" t="str">
            <v>N101.11EFGG Essential-6 Patch Cord Cat 6 Unscreened PVC Light Grey Boot 3m Light Grey</v>
          </cell>
          <cell r="C234" t="str">
            <v>OBS</v>
          </cell>
          <cell r="D234" t="str">
            <v>U</v>
          </cell>
          <cell r="E234">
            <v>164</v>
          </cell>
          <cell r="F234">
            <v>1290</v>
          </cell>
          <cell r="G234">
            <v>1454</v>
          </cell>
          <cell r="H234">
            <v>1897.4671351899999</v>
          </cell>
          <cell r="I234">
            <v>2758917.2145662596</v>
          </cell>
          <cell r="J234" t="str">
            <v>Oui</v>
          </cell>
          <cell r="K234" t="str">
            <v>Nexans</v>
          </cell>
        </row>
        <row r="235">
          <cell r="A235">
            <v>2978</v>
          </cell>
          <cell r="B235" t="str">
            <v>N101.11EHGG Essential-6 Patch Cord Cat 6 Unscreened PVC Light Grey Boot 5m Light Grey</v>
          </cell>
          <cell r="C235" t="str">
            <v>OBS</v>
          </cell>
          <cell r="D235" t="str">
            <v>U</v>
          </cell>
          <cell r="E235">
            <v>17</v>
          </cell>
          <cell r="F235">
            <v>20</v>
          </cell>
          <cell r="G235">
            <v>37</v>
          </cell>
          <cell r="H235">
            <v>2824</v>
          </cell>
          <cell r="I235">
            <v>104488</v>
          </cell>
          <cell r="J235" t="str">
            <v>Oui</v>
          </cell>
          <cell r="K235" t="str">
            <v>Nexans</v>
          </cell>
        </row>
        <row r="236">
          <cell r="A236">
            <v>2979</v>
          </cell>
          <cell r="B236" t="str">
            <v>C887VA-W-E-K9  Cisco 887VA VDSL2/ADSL2+ over POTS W/802.11n ETSI Comp</v>
          </cell>
          <cell r="C236" t="str">
            <v>OBS</v>
          </cell>
          <cell r="D236" t="str">
            <v>U</v>
          </cell>
          <cell r="E236">
            <v>1</v>
          </cell>
          <cell r="G236">
            <v>1</v>
          </cell>
          <cell r="H236">
            <v>761441</v>
          </cell>
          <cell r="I236">
            <v>761441</v>
          </cell>
          <cell r="J236" t="str">
            <v>Oui</v>
          </cell>
          <cell r="K236" t="str">
            <v>Cisco</v>
          </cell>
        </row>
        <row r="237">
          <cell r="A237">
            <v>2990</v>
          </cell>
          <cell r="B237" t="str">
            <v>CP-7945G Cisco UC Phone 7945, Gig Ethernet, Color</v>
          </cell>
          <cell r="C237" t="str">
            <v>OBS</v>
          </cell>
          <cell r="D237" t="str">
            <v>U</v>
          </cell>
          <cell r="F237">
            <v>1</v>
          </cell>
          <cell r="G237">
            <v>1</v>
          </cell>
          <cell r="H237">
            <v>143195</v>
          </cell>
          <cell r="I237">
            <v>143195</v>
          </cell>
          <cell r="J237" t="str">
            <v>Oui</v>
          </cell>
          <cell r="K237" t="str">
            <v>Cisco</v>
          </cell>
        </row>
        <row r="238">
          <cell r="A238">
            <v>2993</v>
          </cell>
          <cell r="B238" t="str">
            <v>SFP-10G-SR= 10GBASE-SR SFP Module</v>
          </cell>
          <cell r="C238" t="str">
            <v>OBS</v>
          </cell>
          <cell r="D238" t="str">
            <v>U</v>
          </cell>
          <cell r="F238">
            <v>1</v>
          </cell>
          <cell r="G238">
            <v>1</v>
          </cell>
          <cell r="H238">
            <v>73118.514617400899</v>
          </cell>
          <cell r="I238">
            <v>73118.514617400899</v>
          </cell>
          <cell r="J238" t="str">
            <v>Oui</v>
          </cell>
          <cell r="K238" t="str">
            <v>Cisco</v>
          </cell>
        </row>
        <row r="239">
          <cell r="A239">
            <v>3003</v>
          </cell>
          <cell r="B239" t="str">
            <v xml:space="preserve">3GV27031AB Combiné Standard pour les postes Alcatel 4019/4029 Urban grey  </v>
          </cell>
          <cell r="C239" t="str">
            <v>OBS</v>
          </cell>
          <cell r="D239" t="str">
            <v>U</v>
          </cell>
          <cell r="E239">
            <v>77</v>
          </cell>
          <cell r="F239">
            <v>160</v>
          </cell>
          <cell r="G239">
            <v>237</v>
          </cell>
          <cell r="H239">
            <v>3219.8852754089098</v>
          </cell>
          <cell r="I239">
            <v>763112.81027191167</v>
          </cell>
          <cell r="J239" t="str">
            <v>Oui</v>
          </cell>
          <cell r="K239" t="str">
            <v>Alcatel-Lucent</v>
          </cell>
        </row>
        <row r="240">
          <cell r="A240">
            <v>3033</v>
          </cell>
          <cell r="B240" t="str">
            <v xml:space="preserve">3GV27064FB POSTE 4008 IP TOUCH </v>
          </cell>
          <cell r="C240" t="str">
            <v>OBS</v>
          </cell>
          <cell r="D240" t="str">
            <v>U</v>
          </cell>
          <cell r="F240">
            <v>13</v>
          </cell>
          <cell r="G240">
            <v>13</v>
          </cell>
          <cell r="H240">
            <v>30972</v>
          </cell>
          <cell r="I240">
            <v>402636</v>
          </cell>
          <cell r="J240" t="str">
            <v>Oui</v>
          </cell>
          <cell r="K240" t="str">
            <v>Alcatel-Lucent</v>
          </cell>
        </row>
        <row r="241">
          <cell r="A241">
            <v>3041</v>
          </cell>
          <cell r="B241" t="str">
            <v>N101.12EFGG Essential-6 Patch Cord Cat 6 Screened PVC Light Grey Boot 3m Light Grey</v>
          </cell>
          <cell r="C241" t="str">
            <v>OBS</v>
          </cell>
          <cell r="D241" t="str">
            <v>U</v>
          </cell>
          <cell r="E241">
            <v>2</v>
          </cell>
          <cell r="G241">
            <v>2</v>
          </cell>
          <cell r="H241">
            <v>2849</v>
          </cell>
          <cell r="I241">
            <v>5698</v>
          </cell>
          <cell r="J241" t="str">
            <v>Oui</v>
          </cell>
          <cell r="K241" t="str">
            <v>Nexans</v>
          </cell>
        </row>
        <row r="242">
          <cell r="A242">
            <v>3045</v>
          </cell>
          <cell r="B242" t="str">
            <v>N500.202 Essential-5 PCB Patch Panel Unscreened 24 RJ45 Cat 5e Rear Connect White</v>
          </cell>
          <cell r="C242" t="str">
            <v>OBS</v>
          </cell>
          <cell r="D242" t="str">
            <v>U</v>
          </cell>
          <cell r="F242">
            <v>24</v>
          </cell>
          <cell r="G242">
            <v>24</v>
          </cell>
          <cell r="H242">
            <v>16765</v>
          </cell>
          <cell r="I242">
            <v>402360</v>
          </cell>
          <cell r="J242" t="str">
            <v>Oui</v>
          </cell>
          <cell r="K242" t="str">
            <v>Nexans</v>
          </cell>
        </row>
        <row r="243">
          <cell r="A243">
            <v>3061</v>
          </cell>
          <cell r="B243" t="str">
            <v>3MG27035AA 8082 My IC Phone POE kit EUROPE (X1)</v>
          </cell>
          <cell r="C243" t="str">
            <v>OBS</v>
          </cell>
          <cell r="D243" t="str">
            <v>U</v>
          </cell>
          <cell r="F243">
            <v>1</v>
          </cell>
          <cell r="G243">
            <v>1</v>
          </cell>
          <cell r="H243">
            <v>16058</v>
          </cell>
          <cell r="I243">
            <v>16058</v>
          </cell>
          <cell r="J243" t="str">
            <v>Oui</v>
          </cell>
          <cell r="K243" t="str">
            <v>Alcatel-Lucent</v>
          </cell>
        </row>
        <row r="244">
          <cell r="A244">
            <v>3095</v>
          </cell>
          <cell r="B244" t="str">
            <v>Poste Grandstream GXP1625 BackLit VoIP IP Phone 2 SIP Line HD Voice 10/100PoE Ready</v>
          </cell>
          <cell r="C244" t="str">
            <v>OBS</v>
          </cell>
          <cell r="D244" t="str">
            <v>PCE</v>
          </cell>
          <cell r="E244">
            <v>1</v>
          </cell>
          <cell r="G244">
            <v>1</v>
          </cell>
          <cell r="H244">
            <v>18251.642538390799</v>
          </cell>
          <cell r="I244">
            <v>18251.642538390799</v>
          </cell>
          <cell r="J244" t="str">
            <v>Oui</v>
          </cell>
          <cell r="K244" t="str">
            <v>Grandstream</v>
          </cell>
        </row>
        <row r="245">
          <cell r="A245">
            <v>3099</v>
          </cell>
          <cell r="B245" t="str">
            <v>3BA00757AV UNITE IP DISTANTE*X-IP 48V</v>
          </cell>
          <cell r="C245" t="str">
            <v>OBS</v>
          </cell>
          <cell r="D245" t="str">
            <v>U</v>
          </cell>
          <cell r="E245">
            <v>2</v>
          </cell>
          <cell r="F245">
            <v>7</v>
          </cell>
          <cell r="G245">
            <v>9</v>
          </cell>
          <cell r="H245">
            <v>221377.35320000001</v>
          </cell>
          <cell r="I245">
            <v>1992396.1788000001</v>
          </cell>
          <cell r="J245" t="str">
            <v>Oui</v>
          </cell>
          <cell r="K245" t="str">
            <v>Alcatel-Lucent</v>
          </cell>
        </row>
        <row r="246">
          <cell r="A246">
            <v>3104</v>
          </cell>
          <cell r="B246" t="str">
            <v xml:space="preserve">3GV27002AB Module additionnel de 40 touches/icones pour les postes Alcatel-Lucent 4028/4029/4038/4039/4068¿ Urban Grey¿ avec pied¿ étiquette papier¿ connecteur </v>
          </cell>
          <cell r="C246" t="str">
            <v>OBS</v>
          </cell>
          <cell r="D246" t="str">
            <v>PCE</v>
          </cell>
          <cell r="F246">
            <v>8</v>
          </cell>
          <cell r="G246">
            <v>8</v>
          </cell>
          <cell r="H246">
            <v>37000</v>
          </cell>
          <cell r="I246">
            <v>296000</v>
          </cell>
          <cell r="J246" t="str">
            <v>Oui</v>
          </cell>
          <cell r="K246" t="str">
            <v>Alcatel-Lucent</v>
          </cell>
        </row>
        <row r="247">
          <cell r="A247">
            <v>3108</v>
          </cell>
          <cell r="B247" t="str">
            <v>38324-01 Cordond jack 3.5 mm /Quick</v>
          </cell>
          <cell r="C247" t="str">
            <v>OBS</v>
          </cell>
          <cell r="D247" t="str">
            <v>U</v>
          </cell>
          <cell r="F247">
            <v>119</v>
          </cell>
          <cell r="G247">
            <v>119</v>
          </cell>
          <cell r="H247">
            <v>6327</v>
          </cell>
          <cell r="I247">
            <v>752913</v>
          </cell>
          <cell r="J247" t="str">
            <v>Oui</v>
          </cell>
          <cell r="K247" t="str">
            <v>Générique</v>
          </cell>
        </row>
        <row r="248">
          <cell r="A248">
            <v>3109</v>
          </cell>
          <cell r="B248" t="str">
            <v xml:space="preserve">3GV27059AC Combiné sans fil Bluetooth® Ice Blue pour poste Alcatel-Lucent IP Touch 4068¿ extended edition, incluant la batterie  </v>
          </cell>
          <cell r="C248" t="str">
            <v>OBS</v>
          </cell>
          <cell r="D248" t="str">
            <v>U</v>
          </cell>
          <cell r="F248">
            <v>7</v>
          </cell>
          <cell r="G248">
            <v>7</v>
          </cell>
          <cell r="H248">
            <v>65979</v>
          </cell>
          <cell r="I248">
            <v>461853</v>
          </cell>
          <cell r="J248" t="str">
            <v>Oui</v>
          </cell>
          <cell r="K248" t="str">
            <v>Alcatel-Lucent</v>
          </cell>
        </row>
        <row r="249">
          <cell r="A249">
            <v>3111</v>
          </cell>
          <cell r="B249" t="str">
            <v>WS-G5486= 1000BASE-LX/LH long haul GBIC (singlemode or multimode)</v>
          </cell>
          <cell r="C249" t="str">
            <v>OBS</v>
          </cell>
          <cell r="D249" t="str">
            <v>M</v>
          </cell>
          <cell r="F249">
            <v>5</v>
          </cell>
          <cell r="G249">
            <v>5</v>
          </cell>
          <cell r="H249">
            <v>245884</v>
          </cell>
          <cell r="I249">
            <v>1229420</v>
          </cell>
          <cell r="J249" t="str">
            <v>Oui</v>
          </cell>
          <cell r="K249" t="str">
            <v>Cisco</v>
          </cell>
        </row>
        <row r="250">
          <cell r="A250">
            <v>3116</v>
          </cell>
          <cell r="B250" t="str">
            <v xml:space="preserve">3EH76181AA Chargeur rack 48V/14AH sans rectifier  </v>
          </cell>
          <cell r="C250" t="str">
            <v>OBS</v>
          </cell>
          <cell r="D250" t="str">
            <v>U</v>
          </cell>
          <cell r="F250">
            <v>35</v>
          </cell>
          <cell r="G250">
            <v>35</v>
          </cell>
          <cell r="H250">
            <v>127141.35875</v>
          </cell>
          <cell r="I250">
            <v>4449947.5562500004</v>
          </cell>
          <cell r="J250" t="str">
            <v>Oui</v>
          </cell>
          <cell r="K250" t="str">
            <v>Alcatel-Lucent</v>
          </cell>
        </row>
        <row r="251">
          <cell r="A251">
            <v>3117</v>
          </cell>
          <cell r="B251" t="str">
            <v>3EH76185AA RECTIFIER 500W FOR CHARGER RACK</v>
          </cell>
          <cell r="C251" t="str">
            <v>OBS</v>
          </cell>
          <cell r="D251" t="str">
            <v>U</v>
          </cell>
          <cell r="E251">
            <v>2</v>
          </cell>
          <cell r="G251">
            <v>2</v>
          </cell>
          <cell r="H251">
            <v>143488</v>
          </cell>
          <cell r="I251">
            <v>286976</v>
          </cell>
          <cell r="J251" t="str">
            <v>Oui</v>
          </cell>
          <cell r="K251" t="str">
            <v>Alcatel-Lucent</v>
          </cell>
        </row>
        <row r="252">
          <cell r="A252">
            <v>3119</v>
          </cell>
          <cell r="B252" t="str">
            <v xml:space="preserve">3EH08336AA EXPANSION MODULE RACK 2 W/O CORD </v>
          </cell>
          <cell r="C252" t="str">
            <v>OBS</v>
          </cell>
          <cell r="D252" t="str">
            <v>U</v>
          </cell>
          <cell r="F252">
            <v>6</v>
          </cell>
          <cell r="G252">
            <v>6</v>
          </cell>
          <cell r="H252">
            <v>130175</v>
          </cell>
          <cell r="I252">
            <v>781050</v>
          </cell>
          <cell r="J252" t="str">
            <v>Oui</v>
          </cell>
          <cell r="K252" t="str">
            <v>Alcatel-Lucent</v>
          </cell>
        </row>
        <row r="253">
          <cell r="A253">
            <v>3512</v>
          </cell>
          <cell r="B253" t="str">
            <v>N100.365 LANmark-7 S/FTP AWG23 Cat 7 LSZH Orange 1000m reel</v>
          </cell>
          <cell r="C253" t="str">
            <v>OBS</v>
          </cell>
          <cell r="D253" t="str">
            <v>PCE</v>
          </cell>
          <cell r="E253">
            <v>170</v>
          </cell>
          <cell r="F253">
            <v>39470</v>
          </cell>
          <cell r="G253">
            <v>39640</v>
          </cell>
          <cell r="H253">
            <v>572.75538843804804</v>
          </cell>
          <cell r="I253">
            <v>22704023.597684223</v>
          </cell>
          <cell r="J253" t="str">
            <v>Oui</v>
          </cell>
          <cell r="K253" t="str">
            <v>Nexans</v>
          </cell>
        </row>
        <row r="254">
          <cell r="A254">
            <v>3600</v>
          </cell>
          <cell r="B254" t="str">
            <v>N11G.P1B030OK LANmark-6 10G Patch Cord Cat 6 500MHz Screened LSZH 3m Orange</v>
          </cell>
          <cell r="C254" t="str">
            <v>OBS</v>
          </cell>
          <cell r="D254" t="str">
            <v>PCE</v>
          </cell>
          <cell r="E254">
            <v>16</v>
          </cell>
          <cell r="F254">
            <v>492</v>
          </cell>
          <cell r="G254">
            <v>508</v>
          </cell>
          <cell r="H254">
            <v>3329.9591509299999</v>
          </cell>
          <cell r="I254">
            <v>1691619.2486724399</v>
          </cell>
          <cell r="J254" t="str">
            <v>Oui</v>
          </cell>
          <cell r="K254" t="str">
            <v>Nexans</v>
          </cell>
        </row>
        <row r="255">
          <cell r="A255">
            <v>3605</v>
          </cell>
          <cell r="B255" t="str">
            <v>3EH73050AB CARTE INTERFACES NUMERIQUES UAI16-1 (retour RMA)</v>
          </cell>
          <cell r="C255" t="str">
            <v>OBS</v>
          </cell>
          <cell r="D255" t="str">
            <v>PCE</v>
          </cell>
          <cell r="F255">
            <v>11</v>
          </cell>
          <cell r="G255">
            <v>11</v>
          </cell>
          <cell r="H255">
            <v>94279</v>
          </cell>
          <cell r="I255">
            <v>1037069</v>
          </cell>
          <cell r="J255" t="str">
            <v>Oui</v>
          </cell>
          <cell r="K255" t="str">
            <v>Alcatel-Lucent</v>
          </cell>
        </row>
        <row r="256">
          <cell r="A256">
            <v>3606</v>
          </cell>
          <cell r="B256" t="str">
            <v>N160.023 LANmark-OF1 TB LSZH 8xMM62.5</v>
          </cell>
          <cell r="C256" t="str">
            <v>OBS</v>
          </cell>
          <cell r="D256" t="str">
            <v>PCE</v>
          </cell>
          <cell r="F256">
            <v>150</v>
          </cell>
          <cell r="G256">
            <v>150</v>
          </cell>
          <cell r="H256">
            <v>649</v>
          </cell>
          <cell r="I256">
            <v>97350</v>
          </cell>
          <cell r="J256" t="str">
            <v>Oui</v>
          </cell>
          <cell r="K256" t="str">
            <v>Nexans</v>
          </cell>
        </row>
        <row r="257">
          <cell r="A257">
            <v>3608</v>
          </cell>
          <cell r="B257" t="str">
            <v>N420.416 connecteur snap-in cat 5e non écranté</v>
          </cell>
          <cell r="C257" t="str">
            <v>OBS</v>
          </cell>
          <cell r="D257" t="str">
            <v>PCE</v>
          </cell>
          <cell r="F257">
            <v>150</v>
          </cell>
          <cell r="G257">
            <v>150</v>
          </cell>
          <cell r="H257">
            <v>958</v>
          </cell>
          <cell r="I257">
            <v>143700</v>
          </cell>
          <cell r="J257" t="str">
            <v>Oui</v>
          </cell>
          <cell r="K257" t="str">
            <v>Nexans</v>
          </cell>
        </row>
        <row r="258">
          <cell r="A258">
            <v>3610</v>
          </cell>
          <cell r="B258" t="str">
            <v>Badge Conducteur / DG-DMX</v>
          </cell>
          <cell r="C258" t="str">
            <v>OBS</v>
          </cell>
          <cell r="D258" t="str">
            <v>PCE</v>
          </cell>
          <cell r="F258">
            <v>99</v>
          </cell>
          <cell r="G258">
            <v>99</v>
          </cell>
          <cell r="H258">
            <v>3107</v>
          </cell>
          <cell r="I258">
            <v>307593</v>
          </cell>
          <cell r="J258" t="str">
            <v>Oui</v>
          </cell>
          <cell r="K258" t="str">
            <v>Générique</v>
          </cell>
        </row>
        <row r="259">
          <cell r="A259">
            <v>3612</v>
          </cell>
          <cell r="B259" t="str">
            <v>Kit lecteur Identifiant Conducteur / LECT-DMX</v>
          </cell>
          <cell r="C259" t="str">
            <v>OBS</v>
          </cell>
          <cell r="D259" t="str">
            <v>PCE</v>
          </cell>
          <cell r="F259">
            <v>99</v>
          </cell>
          <cell r="G259">
            <v>99</v>
          </cell>
          <cell r="H259">
            <v>18640</v>
          </cell>
          <cell r="I259">
            <v>1845360</v>
          </cell>
          <cell r="J259" t="str">
            <v>Oui</v>
          </cell>
          <cell r="K259" t="str">
            <v>Générique</v>
          </cell>
        </row>
        <row r="260">
          <cell r="A260">
            <v>3613</v>
          </cell>
          <cell r="B260" t="str">
            <v>CP-7936/IP Conf. Station w external mic ports 7936</v>
          </cell>
          <cell r="C260" t="str">
            <v>OBS</v>
          </cell>
          <cell r="D260" t="str">
            <v>PCE</v>
          </cell>
          <cell r="F260">
            <v>1</v>
          </cell>
          <cell r="G260">
            <v>1</v>
          </cell>
          <cell r="H260">
            <v>270750</v>
          </cell>
          <cell r="I260">
            <v>270750</v>
          </cell>
          <cell r="J260" t="str">
            <v>Oui</v>
          </cell>
          <cell r="K260" t="str">
            <v>Cisco</v>
          </cell>
        </row>
        <row r="261">
          <cell r="A261">
            <v>3618</v>
          </cell>
          <cell r="B261" t="str">
            <v>Instant PoE adaptateurs</v>
          </cell>
          <cell r="C261" t="str">
            <v>OBS</v>
          </cell>
          <cell r="D261" t="str">
            <v>PCE</v>
          </cell>
          <cell r="F261">
            <v>33</v>
          </cell>
          <cell r="G261">
            <v>33</v>
          </cell>
          <cell r="H261">
            <v>11433</v>
          </cell>
          <cell r="I261">
            <v>377289</v>
          </cell>
          <cell r="J261" t="str">
            <v>Non</v>
          </cell>
          <cell r="K261" t="str">
            <v>Générique</v>
          </cell>
        </row>
        <row r="262">
          <cell r="A262">
            <v>3620</v>
          </cell>
          <cell r="B262" t="str">
            <v>AIR-WLC4402-25-K9/4400 Series WLAN Controller for up to 25 Lightweight APs</v>
          </cell>
          <cell r="C262" t="str">
            <v>OBS</v>
          </cell>
          <cell r="D262" t="str">
            <v>PCE</v>
          </cell>
          <cell r="E262">
            <v>1</v>
          </cell>
          <cell r="F262">
            <v>1</v>
          </cell>
          <cell r="G262">
            <v>2</v>
          </cell>
          <cell r="H262">
            <v>3058679</v>
          </cell>
          <cell r="I262">
            <v>6117358</v>
          </cell>
          <cell r="J262" t="str">
            <v>Oui</v>
          </cell>
          <cell r="K262" t="str">
            <v>Cisco</v>
          </cell>
        </row>
        <row r="263">
          <cell r="A263">
            <v>3628</v>
          </cell>
          <cell r="B263" t="str">
            <v>3EH76185AA RECTIFIER 500W POUR CHARGEUR RACK (retour RMA)</v>
          </cell>
          <cell r="C263" t="str">
            <v>OBS</v>
          </cell>
          <cell r="D263" t="str">
            <v>PCE</v>
          </cell>
          <cell r="E263">
            <v>1</v>
          </cell>
          <cell r="F263">
            <v>4</v>
          </cell>
          <cell r="G263">
            <v>5</v>
          </cell>
          <cell r="H263">
            <v>83691</v>
          </cell>
          <cell r="I263">
            <v>418455</v>
          </cell>
          <cell r="J263" t="str">
            <v>Oui</v>
          </cell>
          <cell r="K263" t="str">
            <v>Alcatel-Lucent</v>
          </cell>
        </row>
        <row r="264">
          <cell r="A264">
            <v>3658</v>
          </cell>
          <cell r="B264" t="str">
            <v>Cable FTP Cat.5e Non Certifié</v>
          </cell>
          <cell r="C264" t="str">
            <v>OBS</v>
          </cell>
          <cell r="D264" t="str">
            <v>U</v>
          </cell>
          <cell r="E264">
            <v>540</v>
          </cell>
          <cell r="F264">
            <v>7121</v>
          </cell>
          <cell r="G264">
            <v>7661</v>
          </cell>
          <cell r="H264">
            <v>125</v>
          </cell>
          <cell r="I264">
            <v>957625</v>
          </cell>
          <cell r="J264" t="str">
            <v>Non</v>
          </cell>
          <cell r="K264" t="str">
            <v>Générique</v>
          </cell>
        </row>
        <row r="265">
          <cell r="A265">
            <v>3660</v>
          </cell>
          <cell r="B265" t="str">
            <v>Point Accès UBIQUITI UAP-AC-MESH 1167 Mbps 5 2.4 GZ Réf : UAP5</v>
          </cell>
          <cell r="C265" t="str">
            <v>OBS</v>
          </cell>
          <cell r="D265" t="str">
            <v>PCE</v>
          </cell>
          <cell r="E265">
            <v>16</v>
          </cell>
          <cell r="G265">
            <v>16</v>
          </cell>
          <cell r="H265">
            <v>93475.925925925898</v>
          </cell>
          <cell r="I265">
            <v>1495614.8148148144</v>
          </cell>
          <cell r="J265" t="str">
            <v>Oui</v>
          </cell>
          <cell r="K265" t="str">
            <v>Générique</v>
          </cell>
        </row>
        <row r="266">
          <cell r="A266">
            <v>3661</v>
          </cell>
          <cell r="B266" t="str">
            <v>N101.11EEGG  Essential-6 Patch Cord Category 6 Unscreened PVC Light Grey Boot 2m Light Grey</v>
          </cell>
          <cell r="C266" t="str">
            <v>OBS</v>
          </cell>
          <cell r="D266" t="str">
            <v>PCE</v>
          </cell>
          <cell r="E266">
            <v>26</v>
          </cell>
          <cell r="F266">
            <v>457</v>
          </cell>
          <cell r="G266">
            <v>483</v>
          </cell>
          <cell r="H266">
            <v>2268</v>
          </cell>
          <cell r="I266">
            <v>1095444</v>
          </cell>
          <cell r="J266" t="str">
            <v>Oui</v>
          </cell>
          <cell r="K266" t="str">
            <v>Nexans</v>
          </cell>
        </row>
        <row r="267">
          <cell r="A267">
            <v>3696</v>
          </cell>
          <cell r="B267" t="str">
            <v>3EH73048BC CARTE GATEWAY DRIVER GD-2 (retour RMA)</v>
          </cell>
          <cell r="C267" t="str">
            <v>OBS</v>
          </cell>
          <cell r="D267" t="str">
            <v>PCE</v>
          </cell>
          <cell r="E267">
            <v>1</v>
          </cell>
          <cell r="G267">
            <v>1</v>
          </cell>
          <cell r="H267">
            <v>50784.19094</v>
          </cell>
          <cell r="I267">
            <v>50784.19094</v>
          </cell>
          <cell r="J267" t="str">
            <v>Oui</v>
          </cell>
          <cell r="K267" t="str">
            <v>Alcatel-Lucent</v>
          </cell>
        </row>
        <row r="268">
          <cell r="A268">
            <v>3698</v>
          </cell>
          <cell r="B268" t="str">
            <v>N423.645 Essential EU Style 22.5 x 45 Module 1 Keystone Flat White</v>
          </cell>
          <cell r="C268" t="str">
            <v>OBS</v>
          </cell>
          <cell r="D268" t="str">
            <v>PCE</v>
          </cell>
          <cell r="E268">
            <v>3</v>
          </cell>
          <cell r="G268">
            <v>3</v>
          </cell>
          <cell r="H268">
            <v>544.53098576781599</v>
          </cell>
          <cell r="I268">
            <v>1633.592957303448</v>
          </cell>
          <cell r="J268" t="str">
            <v>Oui</v>
          </cell>
          <cell r="K268" t="str">
            <v>Nexans</v>
          </cell>
        </row>
        <row r="269">
          <cell r="A269">
            <v>3700</v>
          </cell>
          <cell r="B269" t="str">
            <v>3EH73006AD CARTE ACCES T0 ISDN BRA2 (retour RMA)</v>
          </cell>
          <cell r="C269" t="str">
            <v>OBS</v>
          </cell>
          <cell r="D269" t="str">
            <v>PCE</v>
          </cell>
          <cell r="E269">
            <v>1</v>
          </cell>
          <cell r="G269">
            <v>1</v>
          </cell>
          <cell r="H269">
            <v>29124</v>
          </cell>
          <cell r="I269">
            <v>29124</v>
          </cell>
          <cell r="J269" t="str">
            <v>Oui</v>
          </cell>
          <cell r="K269" t="str">
            <v>Alcatel-Lucent</v>
          </cell>
        </row>
        <row r="270">
          <cell r="A270">
            <v>3701</v>
          </cell>
          <cell r="B270" t="str">
            <v>N205.619 LANmark-OF Duplex SC Snap-In Adaptor Multimode Aqua</v>
          </cell>
          <cell r="C270" t="str">
            <v>OBS</v>
          </cell>
          <cell r="D270" t="str">
            <v>PCE</v>
          </cell>
          <cell r="F270">
            <v>60</v>
          </cell>
          <cell r="G270">
            <v>60</v>
          </cell>
          <cell r="H270">
            <v>1583</v>
          </cell>
          <cell r="I270">
            <v>94980</v>
          </cell>
          <cell r="J270" t="str">
            <v>Oui</v>
          </cell>
          <cell r="K270" t="str">
            <v>Nexans</v>
          </cell>
        </row>
        <row r="271">
          <cell r="A271">
            <v>3702</v>
          </cell>
          <cell r="B271" t="str">
            <v>FS-124F FortiSwitch-124F is a performance/price competitive switch with 24x GE port + 4x SFP+ port + 1x RJ45 console. Fanless design</v>
          </cell>
          <cell r="C271" t="str">
            <v>OBS</v>
          </cell>
          <cell r="D271" t="str">
            <v>PCE</v>
          </cell>
          <cell r="E271">
            <v>1</v>
          </cell>
          <cell r="G271">
            <v>1</v>
          </cell>
          <cell r="H271">
            <v>249333</v>
          </cell>
          <cell r="I271">
            <v>249333</v>
          </cell>
          <cell r="J271" t="str">
            <v>Oui</v>
          </cell>
          <cell r="K271" t="str">
            <v>Fortinet</v>
          </cell>
        </row>
        <row r="272">
          <cell r="A272">
            <v>3703</v>
          </cell>
          <cell r="B272" t="str">
            <v>FS-124F-POE L2+ managed POE switch with 24GE ports, 12 of which are POE+, 4 SFP+, max 185W limit and smart fan temperature control</v>
          </cell>
          <cell r="C272" t="str">
            <v>OBS</v>
          </cell>
          <cell r="D272" t="str">
            <v>PCE</v>
          </cell>
          <cell r="E272">
            <v>1</v>
          </cell>
          <cell r="F272">
            <v>3</v>
          </cell>
          <cell r="G272">
            <v>4</v>
          </cell>
          <cell r="H272">
            <v>447000.24807854299</v>
          </cell>
          <cell r="I272">
            <v>1788000.992314172</v>
          </cell>
          <cell r="J272" t="str">
            <v>Oui</v>
          </cell>
          <cell r="K272" t="str">
            <v>Fortinet</v>
          </cell>
        </row>
        <row r="273">
          <cell r="A273">
            <v>3713</v>
          </cell>
          <cell r="B273" t="str">
            <v>Boite Saillie Générique</v>
          </cell>
          <cell r="C273" t="str">
            <v>OBS</v>
          </cell>
          <cell r="D273" t="str">
            <v>U</v>
          </cell>
          <cell r="F273">
            <v>61</v>
          </cell>
          <cell r="G273">
            <v>61</v>
          </cell>
          <cell r="H273">
            <v>1</v>
          </cell>
          <cell r="I273">
            <v>61</v>
          </cell>
          <cell r="J273" t="str">
            <v>Non</v>
          </cell>
          <cell r="K273" t="str">
            <v>Générique</v>
          </cell>
        </row>
        <row r="274">
          <cell r="A274">
            <v>3729</v>
          </cell>
          <cell r="B274" t="str">
            <v>3EU27009AA BOITIER 4XV24 OVER IP (230V)</v>
          </cell>
          <cell r="C274" t="str">
            <v>OBS</v>
          </cell>
          <cell r="D274" t="str">
            <v>PCE</v>
          </cell>
          <cell r="E274">
            <v>1</v>
          </cell>
          <cell r="F274">
            <v>1</v>
          </cell>
          <cell r="G274">
            <v>2</v>
          </cell>
          <cell r="H274">
            <v>284248</v>
          </cell>
          <cell r="I274">
            <v>568496</v>
          </cell>
          <cell r="J274" t="str">
            <v>Oui</v>
          </cell>
          <cell r="K274" t="str">
            <v>Alcatel-Lucent</v>
          </cell>
        </row>
        <row r="275">
          <cell r="A275">
            <v>3732</v>
          </cell>
          <cell r="B275" t="str">
            <v>PLANTRONICS/ Cordon U10 (cordon du vista) pour Cisco 7940/7960</v>
          </cell>
          <cell r="C275" t="str">
            <v>OBS</v>
          </cell>
          <cell r="D275" t="str">
            <v>PCE</v>
          </cell>
          <cell r="F275">
            <v>10</v>
          </cell>
          <cell r="G275">
            <v>10</v>
          </cell>
          <cell r="H275">
            <v>4920</v>
          </cell>
          <cell r="I275">
            <v>49200</v>
          </cell>
          <cell r="J275" t="str">
            <v>Oui</v>
          </cell>
          <cell r="K275" t="str">
            <v>Générique</v>
          </cell>
        </row>
        <row r="276">
          <cell r="A276">
            <v>3733</v>
          </cell>
          <cell r="B276" t="str">
            <v>N441.203 LANmark-OF  Patch Panel Snap-In Sliding White</v>
          </cell>
          <cell r="C276" t="str">
            <v>OBS</v>
          </cell>
          <cell r="D276" t="str">
            <v>PCE</v>
          </cell>
          <cell r="F276">
            <v>6</v>
          </cell>
          <cell r="G276">
            <v>6</v>
          </cell>
          <cell r="H276">
            <v>24926.366000000002</v>
          </cell>
          <cell r="I276">
            <v>149558.196</v>
          </cell>
          <cell r="J276" t="str">
            <v>Oui</v>
          </cell>
          <cell r="K276" t="str">
            <v>Nexans</v>
          </cell>
        </row>
        <row r="277">
          <cell r="A277">
            <v>3735</v>
          </cell>
          <cell r="B277" t="str">
            <v xml:space="preserve">3EH73092AC  Carte d`équipements postes analogiques SLI8-2 : 8 équipements analogiques </v>
          </cell>
          <cell r="C277" t="str">
            <v>OBS</v>
          </cell>
          <cell r="D277" t="str">
            <v>PCE</v>
          </cell>
          <cell r="E277">
            <v>3</v>
          </cell>
          <cell r="F277">
            <v>35</v>
          </cell>
          <cell r="G277">
            <v>38</v>
          </cell>
          <cell r="H277">
            <v>180196.76176634099</v>
          </cell>
          <cell r="I277">
            <v>6847476.947120958</v>
          </cell>
          <cell r="J277" t="str">
            <v>Oui</v>
          </cell>
          <cell r="K277" t="str">
            <v>Alcatel-Lucent</v>
          </cell>
        </row>
        <row r="278">
          <cell r="A278">
            <v>3736</v>
          </cell>
          <cell r="B278" t="str">
            <v>DMXL DMx-light</v>
          </cell>
          <cell r="C278" t="str">
            <v>OBS</v>
          </cell>
          <cell r="D278" t="str">
            <v>PCE</v>
          </cell>
          <cell r="E278">
            <v>10</v>
          </cell>
          <cell r="F278">
            <v>34</v>
          </cell>
          <cell r="G278">
            <v>44</v>
          </cell>
          <cell r="H278">
            <v>79010</v>
          </cell>
          <cell r="I278">
            <v>3476440</v>
          </cell>
          <cell r="J278" t="str">
            <v>Oui</v>
          </cell>
          <cell r="K278" t="str">
            <v>Générique</v>
          </cell>
        </row>
        <row r="279">
          <cell r="A279">
            <v>3737</v>
          </cell>
          <cell r="B279" t="str">
            <v>3AK17095AC ALCATEL TA MMK assembled packed sans le câble-modèle 4059</v>
          </cell>
          <cell r="C279" t="str">
            <v>OBS</v>
          </cell>
          <cell r="D279" t="str">
            <v>PCE</v>
          </cell>
          <cell r="F279">
            <v>1</v>
          </cell>
          <cell r="G279">
            <v>1</v>
          </cell>
          <cell r="H279">
            <v>152352.57282</v>
          </cell>
          <cell r="I279">
            <v>152352.57282</v>
          </cell>
          <cell r="J279" t="str">
            <v>Oui</v>
          </cell>
          <cell r="K279" t="str">
            <v>Alcatel-Lucent</v>
          </cell>
        </row>
        <row r="280">
          <cell r="A280">
            <v>3740</v>
          </cell>
          <cell r="B280" t="str">
            <v>3BA00759AA  PACK INT-IP3 (INT-IP3+10/100/1000BASE-T)</v>
          </cell>
          <cell r="C280" t="str">
            <v>OBS</v>
          </cell>
          <cell r="D280" t="str">
            <v>PCE</v>
          </cell>
          <cell r="E280">
            <v>2</v>
          </cell>
          <cell r="F280">
            <v>2</v>
          </cell>
          <cell r="G280">
            <v>4</v>
          </cell>
          <cell r="H280">
            <v>2249291.65002352</v>
          </cell>
          <cell r="I280">
            <v>8997166.60009408</v>
          </cell>
          <cell r="J280" t="str">
            <v>Oui</v>
          </cell>
          <cell r="K280" t="str">
            <v>Alcatel-Lucent</v>
          </cell>
        </row>
        <row r="281">
          <cell r="A281">
            <v>3741</v>
          </cell>
          <cell r="B281" t="str">
            <v>3GV28163AA 4135 IP CONFERENCING PHONE &amp; ACCESSOIRES</v>
          </cell>
          <cell r="C281" t="str">
            <v>OBS</v>
          </cell>
          <cell r="D281" t="str">
            <v>PCE</v>
          </cell>
          <cell r="E281">
            <v>1</v>
          </cell>
          <cell r="F281">
            <v>9</v>
          </cell>
          <cell r="G281">
            <v>10</v>
          </cell>
          <cell r="H281">
            <v>389723.49060000002</v>
          </cell>
          <cell r="I281">
            <v>3897234.9060000004</v>
          </cell>
          <cell r="J281" t="str">
            <v>Oui</v>
          </cell>
          <cell r="K281" t="str">
            <v>Alcatel-Lucent</v>
          </cell>
        </row>
        <row r="282">
          <cell r="A282">
            <v>3744</v>
          </cell>
          <cell r="B282" t="str">
            <v>Jabra PRO 920 Mono, DECT, Téléphonie fixe, Antibruit, Réf : 920-25-508-101</v>
          </cell>
          <cell r="C282" t="str">
            <v>OBS</v>
          </cell>
          <cell r="D282" t="str">
            <v>PCE</v>
          </cell>
          <cell r="F282">
            <v>2</v>
          </cell>
          <cell r="G282">
            <v>2</v>
          </cell>
          <cell r="H282">
            <v>85089.376761142805</v>
          </cell>
          <cell r="I282">
            <v>170178.75352228561</v>
          </cell>
          <cell r="J282" t="str">
            <v>Oui</v>
          </cell>
          <cell r="K282" t="str">
            <v>Générique</v>
          </cell>
        </row>
        <row r="283">
          <cell r="A283">
            <v>3745</v>
          </cell>
          <cell r="B283" t="str">
            <v xml:space="preserve">3EH73092AB Carte d`équipements postes analogiques SLI16-2 : 16 équipements analogiques </v>
          </cell>
          <cell r="C283" t="str">
            <v>OBS</v>
          </cell>
          <cell r="D283" t="str">
            <v>PCE</v>
          </cell>
          <cell r="E283">
            <v>3</v>
          </cell>
          <cell r="F283">
            <v>5</v>
          </cell>
          <cell r="G283">
            <v>8</v>
          </cell>
          <cell r="H283">
            <v>177423.24935999999</v>
          </cell>
          <cell r="I283">
            <v>1419385.9948799999</v>
          </cell>
          <cell r="J283" t="str">
            <v>Oui</v>
          </cell>
          <cell r="K283" t="str">
            <v>Alcatel-Lucent</v>
          </cell>
        </row>
        <row r="284">
          <cell r="A284">
            <v>3748</v>
          </cell>
          <cell r="B284" t="str">
            <v>GRANDSTREAM GXP1628</v>
          </cell>
          <cell r="C284" t="str">
            <v>OBS</v>
          </cell>
          <cell r="D284" t="str">
            <v>PCE</v>
          </cell>
          <cell r="F284">
            <v>44</v>
          </cell>
          <cell r="G284">
            <v>44</v>
          </cell>
          <cell r="H284">
            <v>33219.652560000002</v>
          </cell>
          <cell r="I284">
            <v>1461664.71264</v>
          </cell>
          <cell r="J284" t="str">
            <v>Oui</v>
          </cell>
          <cell r="K284" t="str">
            <v>Grandstream</v>
          </cell>
        </row>
        <row r="285">
          <cell r="A285">
            <v>3756</v>
          </cell>
          <cell r="B285" t="str">
            <v>N11A.U1F030OK LANmark-6A Ultim Patch Cord Category 6A Screened LSZH 3m</v>
          </cell>
          <cell r="C285" t="str">
            <v>OBS</v>
          </cell>
          <cell r="D285" t="str">
            <v>PCE</v>
          </cell>
          <cell r="F285">
            <v>1652</v>
          </cell>
          <cell r="G285">
            <v>1652</v>
          </cell>
          <cell r="H285">
            <v>5561.0467878379905</v>
          </cell>
          <cell r="I285">
            <v>9186849.2935083602</v>
          </cell>
          <cell r="J285" t="str">
            <v>Oui</v>
          </cell>
          <cell r="K285" t="str">
            <v>Nexans</v>
          </cell>
        </row>
        <row r="286">
          <cell r="A286">
            <v>3757</v>
          </cell>
          <cell r="B286" t="str">
            <v>3BA00727AA CALL SERVER BOARD EQUIPPED (CS-2)</v>
          </cell>
          <cell r="C286" t="str">
            <v>OBS</v>
          </cell>
          <cell r="D286" t="str">
            <v>PCE</v>
          </cell>
          <cell r="F286">
            <v>3</v>
          </cell>
          <cell r="G286">
            <v>3</v>
          </cell>
          <cell r="H286">
            <v>883209</v>
          </cell>
          <cell r="I286">
            <v>2649627</v>
          </cell>
          <cell r="J286" t="str">
            <v>Oui</v>
          </cell>
          <cell r="K286" t="str">
            <v>Alcatel-Lucent</v>
          </cell>
        </row>
        <row r="287">
          <cell r="A287">
            <v>3794</v>
          </cell>
          <cell r="B287" t="str">
            <v>3EH08515AA Hard Disk for OmniPCX Office RCE Small, Medium and Large -  Hard Disk 2,5¿ &amp; SATEX board</v>
          </cell>
          <cell r="C287" t="str">
            <v>OBS</v>
          </cell>
          <cell r="D287" t="str">
            <v>PCE</v>
          </cell>
          <cell r="E287">
            <v>2</v>
          </cell>
          <cell r="F287">
            <v>4</v>
          </cell>
          <cell r="G287">
            <v>6</v>
          </cell>
          <cell r="H287">
            <v>95839</v>
          </cell>
          <cell r="I287">
            <v>575034</v>
          </cell>
          <cell r="J287" t="str">
            <v>Oui</v>
          </cell>
          <cell r="K287" t="str">
            <v>Alcatel-Lucent</v>
          </cell>
        </row>
        <row r="288">
          <cell r="A288">
            <v>3874</v>
          </cell>
          <cell r="B288" t="str">
            <v>L30250-F600-C175/OpenStage 15 T (lava)</v>
          </cell>
          <cell r="C288" t="str">
            <v>OBS</v>
          </cell>
          <cell r="D288" t="str">
            <v>PCE</v>
          </cell>
          <cell r="F288">
            <v>1</v>
          </cell>
          <cell r="G288">
            <v>1</v>
          </cell>
          <cell r="H288">
            <v>35422</v>
          </cell>
          <cell r="I288">
            <v>35422</v>
          </cell>
          <cell r="J288" t="str">
            <v>Oui</v>
          </cell>
          <cell r="K288" t="str">
            <v>Générique</v>
          </cell>
        </row>
        <row r="289">
          <cell r="A289">
            <v>3876</v>
          </cell>
          <cell r="B289" t="str">
            <v>N11A.U1F010OK LANmark-6A Ultim Patch Cord Category 6A Screened LSZH 1m</v>
          </cell>
          <cell r="C289" t="str">
            <v>OBS</v>
          </cell>
          <cell r="D289" t="str">
            <v>U</v>
          </cell>
          <cell r="E289">
            <v>42</v>
          </cell>
          <cell r="F289">
            <v>6377</v>
          </cell>
          <cell r="G289">
            <v>6419</v>
          </cell>
          <cell r="H289">
            <v>3967.04616690693</v>
          </cell>
          <cell r="I289">
            <v>25464469.345375583</v>
          </cell>
          <cell r="J289" t="str">
            <v>Oui</v>
          </cell>
          <cell r="K289" t="str">
            <v>Nexans</v>
          </cell>
        </row>
        <row r="290">
          <cell r="A290">
            <v>3879</v>
          </cell>
          <cell r="B290" t="str">
            <v>Linksys X1000 Modem Routeur Adsl2 +sans fil N 300</v>
          </cell>
          <cell r="C290" t="str">
            <v>OBS</v>
          </cell>
          <cell r="D290" t="str">
            <v>U</v>
          </cell>
          <cell r="F290">
            <v>1</v>
          </cell>
          <cell r="G290">
            <v>1</v>
          </cell>
          <cell r="H290">
            <v>64008</v>
          </cell>
          <cell r="I290">
            <v>64008</v>
          </cell>
          <cell r="J290" t="str">
            <v>Oui</v>
          </cell>
          <cell r="K290" t="str">
            <v>Générique</v>
          </cell>
        </row>
        <row r="291">
          <cell r="A291">
            <v>3880</v>
          </cell>
          <cell r="B291" t="str">
            <v>CAB-CONSOLE-USB Console Cable 6 ft with USB Tpe A and mini-B</v>
          </cell>
          <cell r="C291" t="str">
            <v>OBS</v>
          </cell>
          <cell r="D291" t="str">
            <v>U</v>
          </cell>
          <cell r="F291">
            <v>4</v>
          </cell>
          <cell r="G291">
            <v>4</v>
          </cell>
          <cell r="H291">
            <v>25687.218395783999</v>
          </cell>
          <cell r="I291">
            <v>102748.873583136</v>
          </cell>
          <cell r="J291" t="str">
            <v>Oui</v>
          </cell>
          <cell r="K291" t="str">
            <v>Cisco</v>
          </cell>
        </row>
        <row r="292">
          <cell r="A292">
            <v>3890</v>
          </cell>
          <cell r="B292" t="str">
            <v>OA5710V-EU OA5710 VDSL2OPOTS WAN, BASE</v>
          </cell>
          <cell r="C292" t="str">
            <v>OBS</v>
          </cell>
          <cell r="D292" t="str">
            <v>PCE</v>
          </cell>
          <cell r="F292">
            <v>19</v>
          </cell>
          <cell r="G292">
            <v>19</v>
          </cell>
          <cell r="H292">
            <v>244673</v>
          </cell>
          <cell r="I292">
            <v>4648787</v>
          </cell>
          <cell r="J292" t="str">
            <v>Oui</v>
          </cell>
          <cell r="K292" t="str">
            <v>Alcatel-Lucent</v>
          </cell>
        </row>
        <row r="293">
          <cell r="A293">
            <v>3914</v>
          </cell>
          <cell r="B293" t="str">
            <v>3GV27033AB SERIES 8&amp;9: CORDON COMBINE 350MM</v>
          </cell>
          <cell r="C293" t="str">
            <v>OBS</v>
          </cell>
          <cell r="D293" t="str">
            <v>PCE</v>
          </cell>
          <cell r="E293">
            <v>160</v>
          </cell>
          <cell r="F293">
            <v>35</v>
          </cell>
          <cell r="G293">
            <v>195</v>
          </cell>
          <cell r="H293">
            <v>12342.3851433364</v>
          </cell>
          <cell r="I293">
            <v>2406765.1029505981</v>
          </cell>
          <cell r="J293" t="str">
            <v>Oui</v>
          </cell>
          <cell r="K293" t="str">
            <v>Alcatel-Lucent</v>
          </cell>
        </row>
        <row r="294">
          <cell r="A294">
            <v>3934</v>
          </cell>
          <cell r="B294" t="str">
            <v>3ML27410AA ALE-400 IP DESKPHONE W CORDED HANDSET</v>
          </cell>
          <cell r="C294" t="str">
            <v>OBS</v>
          </cell>
          <cell r="D294" t="str">
            <v>U</v>
          </cell>
          <cell r="E294">
            <v>4</v>
          </cell>
          <cell r="F294">
            <v>448</v>
          </cell>
          <cell r="G294">
            <v>452</v>
          </cell>
          <cell r="H294">
            <v>98108.0619480639</v>
          </cell>
          <cell r="I294">
            <v>44344844.000524886</v>
          </cell>
          <cell r="J294" t="str">
            <v>Oui</v>
          </cell>
          <cell r="K294" t="str">
            <v>Alcatel-Lucent</v>
          </cell>
        </row>
        <row r="295">
          <cell r="A295">
            <v>3935</v>
          </cell>
          <cell r="B295" t="str">
            <v>3EH73031AE CARTE JONCTEUR ANALOGIQUE APA8 (RETOUR RMA)</v>
          </cell>
          <cell r="C295" t="str">
            <v>OBS</v>
          </cell>
          <cell r="D295" t="str">
            <v>PCE</v>
          </cell>
          <cell r="E295">
            <v>2</v>
          </cell>
          <cell r="G295">
            <v>2</v>
          </cell>
          <cell r="H295">
            <v>118051</v>
          </cell>
          <cell r="I295">
            <v>236102</v>
          </cell>
          <cell r="J295" t="str">
            <v>Oui</v>
          </cell>
          <cell r="K295" t="str">
            <v>Alcatel-Lucent</v>
          </cell>
        </row>
        <row r="296">
          <cell r="A296">
            <v>3957</v>
          </cell>
          <cell r="B296" t="str">
            <v>N11G.P1B020OK LANmark-6 lOG patch Cord Cat 6 500MHz Screened LSZH 2m Orange</v>
          </cell>
          <cell r="C296" t="str">
            <v>OBS</v>
          </cell>
          <cell r="D296" t="str">
            <v>PCE</v>
          </cell>
          <cell r="E296">
            <v>30</v>
          </cell>
          <cell r="F296">
            <v>43</v>
          </cell>
          <cell r="G296">
            <v>73</v>
          </cell>
          <cell r="H296">
            <v>4988</v>
          </cell>
          <cell r="I296">
            <v>364124</v>
          </cell>
          <cell r="J296" t="str">
            <v>Oui</v>
          </cell>
          <cell r="K296" t="str">
            <v>Nexans</v>
          </cell>
        </row>
        <row r="297">
          <cell r="A297">
            <v>3958</v>
          </cell>
          <cell r="B297" t="str">
            <v>N11G.P1B0500K LANmark-6 lOG Patch Cord Cat 6 500MHz Screened LSZH 5m Orange</v>
          </cell>
          <cell r="C297" t="str">
            <v>OBS</v>
          </cell>
          <cell r="D297" t="str">
            <v>PCE</v>
          </cell>
          <cell r="F297">
            <v>85</v>
          </cell>
          <cell r="G297">
            <v>85</v>
          </cell>
          <cell r="H297">
            <v>4631.0564000000004</v>
          </cell>
          <cell r="I297">
            <v>393639.79400000005</v>
          </cell>
          <cell r="J297" t="str">
            <v>Oui</v>
          </cell>
          <cell r="K297" t="str">
            <v>Nexans</v>
          </cell>
        </row>
        <row r="298">
          <cell r="A298">
            <v>4014</v>
          </cell>
          <cell r="B298" t="str">
            <v>Guide câble 1U (guides cordons 1 hu)</v>
          </cell>
          <cell r="C298" t="str">
            <v>OBS</v>
          </cell>
          <cell r="D298" t="str">
            <v>U</v>
          </cell>
          <cell r="E298">
            <v>28</v>
          </cell>
          <cell r="G298">
            <v>28</v>
          </cell>
          <cell r="H298">
            <v>9200</v>
          </cell>
          <cell r="I298">
            <v>257600</v>
          </cell>
          <cell r="J298" t="str">
            <v>Non</v>
          </cell>
          <cell r="K298" t="str">
            <v>Générique</v>
          </cell>
        </row>
        <row r="299">
          <cell r="A299">
            <v>4092</v>
          </cell>
          <cell r="B299" t="str">
            <v>POSTE TEL. GIGASET DA210</v>
          </cell>
          <cell r="C299" t="str">
            <v>OBS</v>
          </cell>
          <cell r="D299" t="str">
            <v>PCE</v>
          </cell>
          <cell r="F299">
            <v>6</v>
          </cell>
          <cell r="G299">
            <v>6</v>
          </cell>
          <cell r="H299">
            <v>4657</v>
          </cell>
          <cell r="I299">
            <v>27942</v>
          </cell>
          <cell r="J299" t="str">
            <v>Oui</v>
          </cell>
          <cell r="K299" t="str">
            <v>Générique</v>
          </cell>
        </row>
        <row r="300">
          <cell r="A300">
            <v>4170</v>
          </cell>
          <cell r="B300" t="str">
            <v>ISR4331/K9 Cisco ISR 4331 (3GE,2NIM,1SM,4G FLASH,4G DRAM,IPB)</v>
          </cell>
          <cell r="C300" t="str">
            <v>OBS</v>
          </cell>
          <cell r="D300" t="str">
            <v>PCE</v>
          </cell>
          <cell r="E300">
            <v>2</v>
          </cell>
          <cell r="F300">
            <v>8</v>
          </cell>
          <cell r="G300">
            <v>10</v>
          </cell>
          <cell r="H300">
            <v>972433.860844207</v>
          </cell>
          <cell r="I300">
            <v>9724338.60844207</v>
          </cell>
          <cell r="J300" t="str">
            <v>Oui</v>
          </cell>
          <cell r="K300" t="str">
            <v>Cisco</v>
          </cell>
        </row>
        <row r="301">
          <cell r="A301">
            <v>4174</v>
          </cell>
          <cell r="B301" t="str">
            <v>3EH73081AB CALL SERVER 1GB BOARD (CS-3)</v>
          </cell>
          <cell r="C301" t="str">
            <v>OBS</v>
          </cell>
          <cell r="D301" t="str">
            <v>PCE</v>
          </cell>
          <cell r="E301">
            <v>2</v>
          </cell>
          <cell r="G301">
            <v>2</v>
          </cell>
          <cell r="H301">
            <v>728899.41839999997</v>
          </cell>
          <cell r="I301">
            <v>1457798.8367999999</v>
          </cell>
          <cell r="J301" t="str">
            <v>Oui</v>
          </cell>
          <cell r="K301" t="str">
            <v>Alcatel-Lucent</v>
          </cell>
        </row>
        <row r="302">
          <cell r="A302">
            <v>4175</v>
          </cell>
          <cell r="B302" t="str">
            <v>CAB-CONSOLE-RJ45 Console Cable 6 ft with USB Tpe A and mini-B</v>
          </cell>
          <cell r="C302" t="str">
            <v>OBS</v>
          </cell>
          <cell r="D302" t="str">
            <v>PCE</v>
          </cell>
          <cell r="F302">
            <v>7</v>
          </cell>
          <cell r="G302">
            <v>7</v>
          </cell>
          <cell r="H302">
            <v>19412</v>
          </cell>
          <cell r="I302">
            <v>135884</v>
          </cell>
          <cell r="J302" t="str">
            <v>Oui</v>
          </cell>
          <cell r="K302" t="str">
            <v>Cisco</v>
          </cell>
        </row>
        <row r="303">
          <cell r="A303">
            <v>4180</v>
          </cell>
          <cell r="B303" t="str">
            <v>PRISE SIMPLE SUR SAILLIE</v>
          </cell>
          <cell r="C303" t="str">
            <v>OBS</v>
          </cell>
          <cell r="D303" t="str">
            <v>PCE</v>
          </cell>
          <cell r="E303">
            <v>33</v>
          </cell>
          <cell r="G303">
            <v>33</v>
          </cell>
          <cell r="H303">
            <v>3600</v>
          </cell>
          <cell r="I303">
            <v>118800</v>
          </cell>
          <cell r="J303" t="str">
            <v>Non</v>
          </cell>
          <cell r="K303" t="str">
            <v>Générique</v>
          </cell>
        </row>
        <row r="304">
          <cell r="A304">
            <v>4196</v>
          </cell>
          <cell r="B304" t="str">
            <v>3EH76238AD MIX2/4/4-x BOARD</v>
          </cell>
          <cell r="C304" t="str">
            <v>OBS</v>
          </cell>
          <cell r="D304" t="str">
            <v>PCE</v>
          </cell>
          <cell r="E304">
            <v>6</v>
          </cell>
          <cell r="F304">
            <v>25</v>
          </cell>
          <cell r="G304">
            <v>31</v>
          </cell>
          <cell r="H304">
            <v>82978.560500000007</v>
          </cell>
          <cell r="I304">
            <v>2572335.3755000001</v>
          </cell>
          <cell r="J304" t="str">
            <v>Oui</v>
          </cell>
          <cell r="K304" t="str">
            <v>Alcatel-Lucent</v>
          </cell>
        </row>
        <row r="305">
          <cell r="A305">
            <v>4202</v>
          </cell>
          <cell r="B305" t="str">
            <v>3ML27510AA ALE-500 IP DESKPHONE W CORDED HANDSET</v>
          </cell>
          <cell r="C305" t="str">
            <v>OBS</v>
          </cell>
          <cell r="D305" t="str">
            <v>PCE</v>
          </cell>
          <cell r="E305">
            <v>4</v>
          </cell>
          <cell r="F305">
            <v>101</v>
          </cell>
          <cell r="G305">
            <v>105</v>
          </cell>
          <cell r="H305">
            <v>159985.91133998201</v>
          </cell>
          <cell r="I305">
            <v>16798520.69069811</v>
          </cell>
          <cell r="J305" t="str">
            <v>Oui</v>
          </cell>
          <cell r="K305" t="str">
            <v>Alcatel-Lucent</v>
          </cell>
        </row>
        <row r="306">
          <cell r="A306">
            <v>4212</v>
          </cell>
          <cell r="B306" t="str">
            <v>Fil de terre TH 6mm Vert/Jaune</v>
          </cell>
          <cell r="C306" t="str">
            <v>OBS</v>
          </cell>
          <cell r="D306" t="str">
            <v>PCE</v>
          </cell>
          <cell r="F306">
            <v>10</v>
          </cell>
          <cell r="G306">
            <v>10</v>
          </cell>
          <cell r="H306">
            <v>424</v>
          </cell>
          <cell r="I306">
            <v>4240</v>
          </cell>
          <cell r="J306" t="str">
            <v>Non</v>
          </cell>
          <cell r="K306" t="str">
            <v>Générique</v>
          </cell>
        </row>
        <row r="307">
          <cell r="A307">
            <v>4247</v>
          </cell>
          <cell r="B307" t="str">
            <v>Switch 8 ports simple Huawei S1700-8-AC</v>
          </cell>
          <cell r="C307" t="str">
            <v>OBS</v>
          </cell>
          <cell r="D307" t="str">
            <v>PCE</v>
          </cell>
          <cell r="E307">
            <v>1</v>
          </cell>
          <cell r="F307">
            <v>2</v>
          </cell>
          <cell r="G307">
            <v>3</v>
          </cell>
          <cell r="H307">
            <v>12248.25</v>
          </cell>
          <cell r="I307">
            <v>36744.75</v>
          </cell>
          <cell r="J307" t="str">
            <v>Oui</v>
          </cell>
          <cell r="K307" t="str">
            <v>Générique</v>
          </cell>
        </row>
        <row r="308">
          <cell r="A308">
            <v>4250</v>
          </cell>
          <cell r="B308" t="str">
            <v>Switch 48 ports simple S1700-52FR-2T2P-AC</v>
          </cell>
          <cell r="C308" t="str">
            <v>OBS</v>
          </cell>
          <cell r="D308" t="str">
            <v>PCE</v>
          </cell>
          <cell r="F308">
            <v>6</v>
          </cell>
          <cell r="G308">
            <v>6</v>
          </cell>
          <cell r="H308">
            <v>164751</v>
          </cell>
          <cell r="I308">
            <v>988506</v>
          </cell>
          <cell r="J308" t="str">
            <v>Oui</v>
          </cell>
          <cell r="K308" t="str">
            <v>Générique</v>
          </cell>
        </row>
        <row r="309">
          <cell r="A309">
            <v>4274</v>
          </cell>
          <cell r="B309" t="str">
            <v>N205.628 Traversée Snap-in LANmark-OF SM APC LC-LC Duplex</v>
          </cell>
          <cell r="C309" t="str">
            <v>OBS</v>
          </cell>
          <cell r="D309" t="str">
            <v>PCE</v>
          </cell>
          <cell r="F309">
            <v>247</v>
          </cell>
          <cell r="G309">
            <v>247</v>
          </cell>
          <cell r="H309">
            <v>2317.21749267</v>
          </cell>
          <cell r="I309">
            <v>572352.72068948997</v>
          </cell>
          <cell r="J309" t="str">
            <v>Oui</v>
          </cell>
          <cell r="K309" t="str">
            <v>Nexans</v>
          </cell>
        </row>
        <row r="310">
          <cell r="A310">
            <v>4280</v>
          </cell>
          <cell r="B310" t="str">
            <v>N116.P1A020DK-LANmark-6-Patch-Cord-Cat-6- Unscreened-LSZH-2m-Grey</v>
          </cell>
          <cell r="C310" t="str">
            <v>OBS</v>
          </cell>
          <cell r="D310" t="str">
            <v>PCE</v>
          </cell>
          <cell r="E310">
            <v>1</v>
          </cell>
          <cell r="F310">
            <v>48</v>
          </cell>
          <cell r="G310">
            <v>49</v>
          </cell>
          <cell r="H310">
            <v>2314.2162960000001</v>
          </cell>
          <cell r="I310">
            <v>113396.59850400001</v>
          </cell>
          <cell r="J310" t="str">
            <v>Oui</v>
          </cell>
          <cell r="K310" t="str">
            <v>Nexans</v>
          </cell>
        </row>
        <row r="311">
          <cell r="A311">
            <v>4281</v>
          </cell>
          <cell r="B311" t="str">
            <v>N420.735 LANmark-7A GG45 12C Snap-In Connector Cat 7A Screened</v>
          </cell>
          <cell r="C311" t="str">
            <v>OBS</v>
          </cell>
          <cell r="D311" t="str">
            <v>PCE</v>
          </cell>
          <cell r="E311">
            <v>53</v>
          </cell>
          <cell r="F311">
            <v>3874</v>
          </cell>
          <cell r="G311">
            <v>3927</v>
          </cell>
          <cell r="H311">
            <v>9324.5129258725192</v>
          </cell>
          <cell r="I311">
            <v>36617362.259901382</v>
          </cell>
          <cell r="J311" t="str">
            <v>Oui</v>
          </cell>
          <cell r="K311" t="str">
            <v>Nexans</v>
          </cell>
        </row>
        <row r="312">
          <cell r="A312">
            <v>4287</v>
          </cell>
          <cell r="B312" t="str">
            <v>FG-71F-BDL-950-12 Hardware plus FortiCare Premium and FortiGuard Unified Threat Protection (UTP)</v>
          </cell>
          <cell r="C312" t="str">
            <v>OBS</v>
          </cell>
          <cell r="D312" t="str">
            <v>PCE</v>
          </cell>
          <cell r="E312">
            <v>3</v>
          </cell>
          <cell r="G312">
            <v>3</v>
          </cell>
          <cell r="H312">
            <v>550204.688596291</v>
          </cell>
          <cell r="I312">
            <v>1650614.065788873</v>
          </cell>
          <cell r="J312" t="str">
            <v>OUI</v>
          </cell>
          <cell r="K312" t="str">
            <v>Fortinet</v>
          </cell>
        </row>
        <row r="313">
          <cell r="A313">
            <v>4288</v>
          </cell>
          <cell r="B313" t="str">
            <v>Switch TP Link 16 ports</v>
          </cell>
          <cell r="C313" t="str">
            <v>OBS</v>
          </cell>
          <cell r="D313" t="str">
            <v>PCE</v>
          </cell>
          <cell r="E313">
            <v>8</v>
          </cell>
          <cell r="G313">
            <v>8</v>
          </cell>
          <cell r="H313">
            <v>16761.904761904701</v>
          </cell>
          <cell r="I313">
            <v>134095.23809523761</v>
          </cell>
          <cell r="J313" t="str">
            <v>Non</v>
          </cell>
          <cell r="K313" t="str">
            <v>Générique</v>
          </cell>
        </row>
        <row r="314">
          <cell r="A314">
            <v>4295</v>
          </cell>
          <cell r="B314" t="str">
            <v>FS-124F-FPOE L2+ managed POE switch with 24GE + 4SFP+, 24port POE with max 370W limit and smart fan temperature control</v>
          </cell>
          <cell r="C314" t="str">
            <v>OBS</v>
          </cell>
          <cell r="D314" t="str">
            <v>PCE</v>
          </cell>
          <cell r="E314">
            <v>7</v>
          </cell>
          <cell r="F314">
            <v>7</v>
          </cell>
          <cell r="G314">
            <v>14</v>
          </cell>
          <cell r="H314">
            <v>479559.63567506499</v>
          </cell>
          <cell r="I314">
            <v>6713834.8994509093</v>
          </cell>
          <cell r="J314" t="str">
            <v>OUI</v>
          </cell>
          <cell r="K314" t="str">
            <v>Fortinet</v>
          </cell>
        </row>
        <row r="315">
          <cell r="A315">
            <v>4296</v>
          </cell>
          <cell r="B315" t="str">
            <v>Jabra 2406-820-804 Jabra BIZ¿ 2400 Mono NOUVELLE GENERATION 3-in-1 Perche micro flex, micro 82 E-STD Antibruit</v>
          </cell>
          <cell r="C315" t="str">
            <v>OBS</v>
          </cell>
          <cell r="D315" t="str">
            <v>U</v>
          </cell>
          <cell r="E315">
            <v>19</v>
          </cell>
          <cell r="G315">
            <v>19</v>
          </cell>
          <cell r="H315">
            <v>70441</v>
          </cell>
          <cell r="I315">
            <v>1338379</v>
          </cell>
          <cell r="J315" t="str">
            <v>Oui</v>
          </cell>
          <cell r="K315" t="str">
            <v>Générique</v>
          </cell>
        </row>
        <row r="316">
          <cell r="A316">
            <v>4301</v>
          </cell>
          <cell r="B316" t="str">
            <v>TLWA7510N 5GHz 150Mbps Outdoor Wireless Access Point TL WA7510N</v>
          </cell>
          <cell r="C316" t="str">
            <v>OBS</v>
          </cell>
          <cell r="D316" t="str">
            <v>PCE</v>
          </cell>
          <cell r="F316">
            <v>5</v>
          </cell>
          <cell r="G316">
            <v>5</v>
          </cell>
          <cell r="H316">
            <v>60000</v>
          </cell>
          <cell r="I316">
            <v>300000</v>
          </cell>
          <cell r="J316" t="str">
            <v>Non</v>
          </cell>
          <cell r="K316" t="str">
            <v>Générique</v>
          </cell>
        </row>
        <row r="317">
          <cell r="A317">
            <v>4302</v>
          </cell>
          <cell r="B317" t="str">
            <v>TLPOE150S TP LINK TL POE150S PoE Injector</v>
          </cell>
          <cell r="C317" t="str">
            <v>OBS</v>
          </cell>
          <cell r="D317" t="str">
            <v>PCE</v>
          </cell>
          <cell r="E317">
            <v>19</v>
          </cell>
          <cell r="G317">
            <v>19</v>
          </cell>
          <cell r="H317">
            <v>19344.122589610299</v>
          </cell>
          <cell r="I317">
            <v>367538.32920259569</v>
          </cell>
          <cell r="J317" t="str">
            <v>Oui</v>
          </cell>
          <cell r="K317" t="str">
            <v>Générique</v>
          </cell>
        </row>
        <row r="318">
          <cell r="A318">
            <v>4303</v>
          </cell>
          <cell r="B318" t="str">
            <v>TLMR3420 TP LINK TL MR3420 3G/4G Wireless N Router</v>
          </cell>
          <cell r="C318" t="str">
            <v>OBS</v>
          </cell>
          <cell r="D318" t="str">
            <v>PCE</v>
          </cell>
          <cell r="F318">
            <v>2</v>
          </cell>
          <cell r="G318">
            <v>2</v>
          </cell>
          <cell r="H318">
            <v>32500</v>
          </cell>
          <cell r="I318">
            <v>65000</v>
          </cell>
          <cell r="J318" t="str">
            <v>Non</v>
          </cell>
          <cell r="K318" t="str">
            <v>Générique</v>
          </cell>
        </row>
        <row r="319">
          <cell r="A319">
            <v>4305</v>
          </cell>
          <cell r="B319" t="str">
            <v>3EH08334AA KIT SURALIMENTEUR UAI16-1 SANS CABLE</v>
          </cell>
          <cell r="C319" t="str">
            <v>OBS</v>
          </cell>
          <cell r="D319" t="str">
            <v>PCE</v>
          </cell>
          <cell r="E319">
            <v>4</v>
          </cell>
          <cell r="F319">
            <v>1</v>
          </cell>
          <cell r="G319">
            <v>5</v>
          </cell>
          <cell r="H319">
            <v>47556.8825</v>
          </cell>
          <cell r="I319">
            <v>237784.41250000001</v>
          </cell>
          <cell r="J319" t="str">
            <v>Oui</v>
          </cell>
          <cell r="K319" t="str">
            <v>Alcatel-Lucent</v>
          </cell>
        </row>
        <row r="320">
          <cell r="A320">
            <v>4306</v>
          </cell>
          <cell r="B320" t="str">
            <v>3EH73096AB MIXED MIX4/8/4-2 BOARD</v>
          </cell>
          <cell r="C320" t="str">
            <v>OBS</v>
          </cell>
          <cell r="D320" t="str">
            <v>PCE</v>
          </cell>
          <cell r="E320">
            <v>3</v>
          </cell>
          <cell r="F320">
            <v>8</v>
          </cell>
          <cell r="G320">
            <v>11</v>
          </cell>
          <cell r="H320">
            <v>177436.36850000001</v>
          </cell>
          <cell r="I320">
            <v>1951800.0535000002</v>
          </cell>
          <cell r="J320" t="str">
            <v>Oui</v>
          </cell>
          <cell r="K320" t="str">
            <v>Alcatel-Lucent</v>
          </cell>
        </row>
        <row r="321">
          <cell r="A321">
            <v>4307</v>
          </cell>
          <cell r="B321" t="str">
            <v>3BA23274AB CARTE INT-IP3</v>
          </cell>
          <cell r="C321" t="str">
            <v>OBS</v>
          </cell>
          <cell r="D321" t="str">
            <v>PCE</v>
          </cell>
          <cell r="F321">
            <v>20</v>
          </cell>
          <cell r="G321">
            <v>20</v>
          </cell>
          <cell r="H321">
            <v>109413.62760000001</v>
          </cell>
          <cell r="I321">
            <v>2188272.5520000001</v>
          </cell>
          <cell r="J321" t="str">
            <v>Oui</v>
          </cell>
          <cell r="K321" t="str">
            <v>Alcatel-Lucent</v>
          </cell>
        </row>
        <row r="322">
          <cell r="A322">
            <v>4308</v>
          </cell>
          <cell r="B322" t="str">
            <v>3BA23265AD CARTE eZ32-2</v>
          </cell>
          <cell r="C322" t="str">
            <v>OBS</v>
          </cell>
          <cell r="D322" t="str">
            <v>PCE</v>
          </cell>
          <cell r="F322">
            <v>10</v>
          </cell>
          <cell r="G322">
            <v>10</v>
          </cell>
          <cell r="H322">
            <v>186081.88175999999</v>
          </cell>
          <cell r="I322">
            <v>1860818.8176</v>
          </cell>
          <cell r="J322" t="str">
            <v>Oui</v>
          </cell>
          <cell r="K322" t="str">
            <v>Alcatel-Lucent</v>
          </cell>
        </row>
        <row r="323">
          <cell r="A323">
            <v>4321</v>
          </cell>
          <cell r="B323" t="str">
            <v>MicroIPBX Doro IP 500</v>
          </cell>
          <cell r="C323" t="str">
            <v>OBS</v>
          </cell>
          <cell r="D323" t="str">
            <v>PCE</v>
          </cell>
          <cell r="F323">
            <v>10</v>
          </cell>
          <cell r="G323">
            <v>10</v>
          </cell>
          <cell r="H323">
            <v>43306</v>
          </cell>
          <cell r="I323">
            <v>433060</v>
          </cell>
          <cell r="J323" t="str">
            <v>Oui</v>
          </cell>
          <cell r="K323" t="str">
            <v>Générique</v>
          </cell>
        </row>
        <row r="324">
          <cell r="A324">
            <v>4333</v>
          </cell>
          <cell r="B324" t="str">
            <v>Cordon pour GN Netcom 9350 Réf : JABRA 14201-20</v>
          </cell>
          <cell r="C324" t="str">
            <v>OBS</v>
          </cell>
          <cell r="D324" t="str">
            <v>PCE</v>
          </cell>
          <cell r="E324">
            <v>35</v>
          </cell>
          <cell r="F324">
            <v>4</v>
          </cell>
          <cell r="G324">
            <v>39</v>
          </cell>
          <cell r="H324">
            <v>16972.6956875</v>
          </cell>
          <cell r="I324">
            <v>661935.13181249995</v>
          </cell>
          <cell r="J324" t="str">
            <v>Non</v>
          </cell>
          <cell r="K324" t="str">
            <v>Générique</v>
          </cell>
        </row>
        <row r="325">
          <cell r="A325">
            <v>4350</v>
          </cell>
          <cell r="B325" t="str">
            <v>OA5710V-H+-EU OA5710V ESR with 3.7G for Worldwide HSPA+ at 850/900/1900/2100 MHz, fallback to EDGE/GPRS 850/900/1800/1900 MHz</v>
          </cell>
          <cell r="C325" t="str">
            <v>OBS</v>
          </cell>
          <cell r="D325" t="str">
            <v>PCE</v>
          </cell>
          <cell r="F325">
            <v>4</v>
          </cell>
          <cell r="G325">
            <v>4</v>
          </cell>
          <cell r="H325">
            <v>446871</v>
          </cell>
          <cell r="I325">
            <v>1787484</v>
          </cell>
          <cell r="J325" t="str">
            <v>Oui</v>
          </cell>
          <cell r="K325" t="str">
            <v>Alcatel-Lucent</v>
          </cell>
        </row>
        <row r="326">
          <cell r="A326">
            <v>4353</v>
          </cell>
          <cell r="B326" t="str">
            <v>Panneau de Brassage 24 Ports FTP Cat.6</v>
          </cell>
          <cell r="C326" t="str">
            <v>OBS</v>
          </cell>
          <cell r="D326" t="str">
            <v>PCE</v>
          </cell>
          <cell r="E326">
            <v>31</v>
          </cell>
          <cell r="F326">
            <v>21</v>
          </cell>
          <cell r="G326">
            <v>52</v>
          </cell>
          <cell r="H326">
            <v>29500</v>
          </cell>
          <cell r="I326">
            <v>1534000</v>
          </cell>
          <cell r="J326" t="str">
            <v>Non</v>
          </cell>
          <cell r="K326" t="str">
            <v>Générique</v>
          </cell>
        </row>
        <row r="327">
          <cell r="A327">
            <v>4354</v>
          </cell>
          <cell r="B327" t="str">
            <v>Cordon de Brassage FTP RJ45, Cat.6 de 3 mètres</v>
          </cell>
          <cell r="C327" t="str">
            <v>OBS</v>
          </cell>
          <cell r="D327" t="str">
            <v>PCE</v>
          </cell>
          <cell r="E327">
            <v>77</v>
          </cell>
          <cell r="F327">
            <v>1143</v>
          </cell>
          <cell r="G327">
            <v>1220</v>
          </cell>
          <cell r="H327">
            <v>1500</v>
          </cell>
          <cell r="I327">
            <v>1830000</v>
          </cell>
          <cell r="J327" t="str">
            <v>Non</v>
          </cell>
          <cell r="K327" t="str">
            <v>Générique</v>
          </cell>
        </row>
        <row r="328">
          <cell r="A328">
            <v>4355</v>
          </cell>
          <cell r="B328" t="str">
            <v>Cordon de Brassage FTP RJ45, Cat.6 de 1 mètre</v>
          </cell>
          <cell r="C328" t="str">
            <v>OBS</v>
          </cell>
          <cell r="D328" t="str">
            <v>PCE</v>
          </cell>
          <cell r="E328">
            <v>6</v>
          </cell>
          <cell r="F328">
            <v>534</v>
          </cell>
          <cell r="G328">
            <v>540</v>
          </cell>
          <cell r="H328">
            <v>1000</v>
          </cell>
          <cell r="I328">
            <v>540000</v>
          </cell>
          <cell r="J328" t="str">
            <v>Non</v>
          </cell>
          <cell r="K328" t="str">
            <v>Générique</v>
          </cell>
        </row>
        <row r="329">
          <cell r="A329">
            <v>4370</v>
          </cell>
          <cell r="B329" t="str">
            <v>3BN67342AB 8242 DECT HANDSET</v>
          </cell>
          <cell r="C329" t="str">
            <v>OBS</v>
          </cell>
          <cell r="D329" t="str">
            <v>PCE</v>
          </cell>
          <cell r="E329">
            <v>2</v>
          </cell>
          <cell r="F329">
            <v>2</v>
          </cell>
          <cell r="G329">
            <v>4</v>
          </cell>
          <cell r="H329">
            <v>95162.961774999902</v>
          </cell>
          <cell r="I329">
            <v>380651.84709999961</v>
          </cell>
          <cell r="J329" t="str">
            <v>Oui</v>
          </cell>
          <cell r="K329" t="str">
            <v>Alcatel-Lucent</v>
          </cell>
        </row>
        <row r="330">
          <cell r="A330">
            <v>4372</v>
          </cell>
          <cell r="B330" t="str">
            <v>3EH76031AD SATA HARD DISK FOR CS-2</v>
          </cell>
          <cell r="C330" t="str">
            <v>OBS</v>
          </cell>
          <cell r="D330" t="str">
            <v>PCE</v>
          </cell>
          <cell r="F330">
            <v>1</v>
          </cell>
          <cell r="G330">
            <v>1</v>
          </cell>
          <cell r="H330">
            <v>240238</v>
          </cell>
          <cell r="I330">
            <v>240238</v>
          </cell>
          <cell r="J330" t="str">
            <v>Oui</v>
          </cell>
          <cell r="K330" t="str">
            <v>Alcatel-Lucent</v>
          </cell>
        </row>
        <row r="331">
          <cell r="A331">
            <v>4385</v>
          </cell>
          <cell r="B331" t="str">
            <v>FG-50E FortiGate-50E - 7 x GE RJ45 ports (Including 2 x WAN port, 5 x Switch ports), Max managed FortiAPs (Total / Tunnel) 10 / 5</v>
          </cell>
          <cell r="C331" t="str">
            <v>OBS</v>
          </cell>
          <cell r="D331" t="str">
            <v>PCE</v>
          </cell>
          <cell r="E331">
            <v>3</v>
          </cell>
          <cell r="G331">
            <v>3</v>
          </cell>
          <cell r="H331">
            <v>162349</v>
          </cell>
          <cell r="I331">
            <v>487047</v>
          </cell>
          <cell r="J331" t="str">
            <v>Oui</v>
          </cell>
          <cell r="K331" t="str">
            <v>Fortinet</v>
          </cell>
        </row>
        <row r="332">
          <cell r="A332">
            <v>4390</v>
          </cell>
          <cell r="B332" t="str">
            <v>FG-TRAN-SFP+SR SFP+ Transceiver Module</v>
          </cell>
          <cell r="C332" t="str">
            <v>OBS</v>
          </cell>
          <cell r="D332" t="str">
            <v>PCE</v>
          </cell>
          <cell r="E332">
            <v>1</v>
          </cell>
          <cell r="G332">
            <v>1</v>
          </cell>
          <cell r="H332">
            <v>38567.286453615801</v>
          </cell>
          <cell r="I332">
            <v>38567.286453615801</v>
          </cell>
          <cell r="J332" t="str">
            <v>Oui</v>
          </cell>
          <cell r="K332" t="str">
            <v>Fortinet</v>
          </cell>
        </row>
        <row r="333">
          <cell r="A333">
            <v>4399</v>
          </cell>
          <cell r="B333" t="str">
            <v>JEU DE 2 MONTANTS 19P 24U LINK 646340</v>
          </cell>
          <cell r="C333" t="str">
            <v>OBS</v>
          </cell>
          <cell r="D333" t="str">
            <v>PCE</v>
          </cell>
          <cell r="F333">
            <v>2</v>
          </cell>
          <cell r="G333">
            <v>2</v>
          </cell>
          <cell r="H333">
            <v>18088</v>
          </cell>
          <cell r="I333">
            <v>36176</v>
          </cell>
          <cell r="J333" t="str">
            <v>Non</v>
          </cell>
          <cell r="K333" t="str">
            <v>Legrand</v>
          </cell>
        </row>
        <row r="334">
          <cell r="A334">
            <v>4400</v>
          </cell>
          <cell r="B334" t="str">
            <v>PRISE DOUBLE COMPLETE SUR GOULOTTE</v>
          </cell>
          <cell r="C334" t="str">
            <v>OBS</v>
          </cell>
          <cell r="D334" t="str">
            <v>PCE</v>
          </cell>
          <cell r="E334">
            <v>101</v>
          </cell>
          <cell r="G334">
            <v>101</v>
          </cell>
          <cell r="H334">
            <v>3423.7623762376202</v>
          </cell>
          <cell r="I334">
            <v>345799.99999999965</v>
          </cell>
          <cell r="J334" t="str">
            <v>Non</v>
          </cell>
          <cell r="K334" t="str">
            <v>Générique</v>
          </cell>
        </row>
        <row r="335">
          <cell r="A335">
            <v>4401</v>
          </cell>
          <cell r="B335" t="str">
            <v>PRISE SIMPLE  COMPLETE SUR GOULOTTE</v>
          </cell>
          <cell r="C335" t="str">
            <v>OBS</v>
          </cell>
          <cell r="D335" t="str">
            <v>PCE</v>
          </cell>
          <cell r="E335">
            <v>85</v>
          </cell>
          <cell r="G335">
            <v>85</v>
          </cell>
          <cell r="H335">
            <v>2520.5528846153802</v>
          </cell>
          <cell r="I335">
            <v>214246.99519230731</v>
          </cell>
          <cell r="J335" t="str">
            <v>Non</v>
          </cell>
          <cell r="K335" t="str">
            <v>Générique</v>
          </cell>
        </row>
        <row r="336">
          <cell r="A336">
            <v>4403</v>
          </cell>
          <cell r="B336" t="str">
            <v>ANGLE INTERIEUR VARIABLE</v>
          </cell>
          <cell r="C336" t="str">
            <v>OBS</v>
          </cell>
          <cell r="D336" t="str">
            <v>PCE</v>
          </cell>
          <cell r="F336">
            <v>50</v>
          </cell>
          <cell r="G336">
            <v>50</v>
          </cell>
          <cell r="H336">
            <v>1250</v>
          </cell>
          <cell r="I336">
            <v>62500</v>
          </cell>
          <cell r="J336" t="str">
            <v>Non</v>
          </cell>
          <cell r="K336" t="str">
            <v>Générique</v>
          </cell>
        </row>
        <row r="337">
          <cell r="A337">
            <v>4410</v>
          </cell>
          <cell r="B337" t="str">
            <v>Switch de 08 ports 10/100</v>
          </cell>
          <cell r="C337" t="str">
            <v>OBS</v>
          </cell>
          <cell r="D337" t="str">
            <v>PCE</v>
          </cell>
          <cell r="E337">
            <v>22</v>
          </cell>
          <cell r="G337">
            <v>22</v>
          </cell>
          <cell r="H337">
            <v>6965.5172413793098</v>
          </cell>
          <cell r="I337">
            <v>153241.37931034481</v>
          </cell>
          <cell r="J337" t="str">
            <v>Non</v>
          </cell>
          <cell r="K337" t="str">
            <v>Générique</v>
          </cell>
        </row>
        <row r="338">
          <cell r="A338">
            <v>4437</v>
          </cell>
          <cell r="B338" t="str">
            <v>Grillage avertisseur vert (en m)</v>
          </cell>
          <cell r="C338" t="str">
            <v>OBS</v>
          </cell>
          <cell r="D338" t="str">
            <v>PCE</v>
          </cell>
          <cell r="E338">
            <v>100</v>
          </cell>
          <cell r="F338">
            <v>92</v>
          </cell>
          <cell r="G338">
            <v>192</v>
          </cell>
          <cell r="H338">
            <v>984</v>
          </cell>
          <cell r="I338">
            <v>188928</v>
          </cell>
          <cell r="J338" t="str">
            <v>Non</v>
          </cell>
          <cell r="K338" t="str">
            <v>Générique</v>
          </cell>
        </row>
        <row r="339">
          <cell r="A339">
            <v>4451</v>
          </cell>
          <cell r="B339" t="str">
            <v>3MG27105AB 10 KEYS PREMIUM MODULE</v>
          </cell>
          <cell r="C339" t="str">
            <v>OBS</v>
          </cell>
          <cell r="D339" t="str">
            <v>PCE</v>
          </cell>
          <cell r="F339">
            <v>5</v>
          </cell>
          <cell r="G339">
            <v>5</v>
          </cell>
          <cell r="H339">
            <v>18203</v>
          </cell>
          <cell r="I339">
            <v>91015</v>
          </cell>
          <cell r="J339" t="str">
            <v>Oui</v>
          </cell>
          <cell r="K339" t="str">
            <v>Alcatel-Lucent</v>
          </cell>
        </row>
        <row r="340">
          <cell r="A340">
            <v>4452</v>
          </cell>
          <cell r="B340" t="str">
            <v>Goulotte 60x40 (Longueur de 2m)</v>
          </cell>
          <cell r="C340" t="str">
            <v>OBS</v>
          </cell>
          <cell r="D340" t="str">
            <v>PCE</v>
          </cell>
          <cell r="E340">
            <v>494</v>
          </cell>
          <cell r="G340">
            <v>494</v>
          </cell>
          <cell r="H340">
            <v>2600.25471756656</v>
          </cell>
          <cell r="I340">
            <v>1284525.8304778805</v>
          </cell>
          <cell r="J340" t="str">
            <v>Non</v>
          </cell>
          <cell r="K340" t="str">
            <v>Générique</v>
          </cell>
        </row>
        <row r="341">
          <cell r="A341">
            <v>4453</v>
          </cell>
          <cell r="B341" t="str">
            <v>Angle Intérieur 60x40</v>
          </cell>
          <cell r="C341" t="str">
            <v>OBS</v>
          </cell>
          <cell r="D341" t="str">
            <v>PCE</v>
          </cell>
          <cell r="F341">
            <v>5</v>
          </cell>
          <cell r="G341">
            <v>5</v>
          </cell>
          <cell r="H341">
            <v>800</v>
          </cell>
          <cell r="I341">
            <v>4000</v>
          </cell>
          <cell r="J341" t="str">
            <v>Non</v>
          </cell>
          <cell r="K341" t="str">
            <v>Générique</v>
          </cell>
        </row>
        <row r="342">
          <cell r="A342">
            <v>4469</v>
          </cell>
          <cell r="B342" t="str">
            <v>H6J66A HP 42U 600x1075 Advanced Shock Rack</v>
          </cell>
          <cell r="C342" t="str">
            <v>OBS</v>
          </cell>
          <cell r="D342" t="str">
            <v>PCE</v>
          </cell>
          <cell r="F342">
            <v>1</v>
          </cell>
          <cell r="G342">
            <v>1</v>
          </cell>
          <cell r="H342">
            <v>1094845</v>
          </cell>
          <cell r="I342">
            <v>1094845</v>
          </cell>
          <cell r="J342" t="str">
            <v>oui</v>
          </cell>
          <cell r="K342">
            <v>0</v>
          </cell>
        </row>
        <row r="343">
          <cell r="A343">
            <v>4496</v>
          </cell>
          <cell r="B343" t="str">
            <v>IdeaHub Controller</v>
          </cell>
          <cell r="C343" t="str">
            <v>OBS</v>
          </cell>
          <cell r="D343" t="str">
            <v>PCE</v>
          </cell>
          <cell r="F343">
            <v>2</v>
          </cell>
          <cell r="G343">
            <v>2</v>
          </cell>
          <cell r="H343">
            <v>9561.0418157142904</v>
          </cell>
          <cell r="I343">
            <v>19122.083631428581</v>
          </cell>
          <cell r="J343" t="str">
            <v>oui</v>
          </cell>
          <cell r="K343" t="str">
            <v>cisco</v>
          </cell>
        </row>
        <row r="344">
          <cell r="A344">
            <v>4501</v>
          </cell>
          <cell r="B344" t="str">
            <v>CP-7821-K9= Cisco UC Phone 7821</v>
          </cell>
          <cell r="C344" t="str">
            <v>OBS</v>
          </cell>
          <cell r="D344" t="str">
            <v>PCE</v>
          </cell>
          <cell r="E344">
            <v>7</v>
          </cell>
          <cell r="G344">
            <v>7</v>
          </cell>
          <cell r="H344">
            <v>46941</v>
          </cell>
          <cell r="I344">
            <v>328587</v>
          </cell>
          <cell r="J344" t="str">
            <v>Oui</v>
          </cell>
          <cell r="K344" t="str">
            <v>Cisco</v>
          </cell>
        </row>
        <row r="345">
          <cell r="A345">
            <v>4513</v>
          </cell>
          <cell r="B345" t="str">
            <v>C9115AXI-E Cisco Catalyst 9115AX Series</v>
          </cell>
          <cell r="C345" t="str">
            <v>OBS</v>
          </cell>
          <cell r="D345" t="str">
            <v>PCE</v>
          </cell>
          <cell r="E345">
            <v>4</v>
          </cell>
          <cell r="G345">
            <v>4</v>
          </cell>
          <cell r="H345">
            <v>176117.72099999999</v>
          </cell>
          <cell r="I345">
            <v>704470.88399999996</v>
          </cell>
          <cell r="J345" t="str">
            <v>Oui</v>
          </cell>
          <cell r="K345" t="str">
            <v>Cisco</v>
          </cell>
        </row>
        <row r="346">
          <cell r="A346">
            <v>4520</v>
          </cell>
          <cell r="B346" t="str">
            <v>Goulotte 40x16 (Longueur 2m)</v>
          </cell>
          <cell r="C346" t="str">
            <v>OBS</v>
          </cell>
          <cell r="D346" t="str">
            <v>PCE</v>
          </cell>
          <cell r="E346">
            <v>10</v>
          </cell>
          <cell r="F346">
            <v>5</v>
          </cell>
          <cell r="G346">
            <v>15</v>
          </cell>
          <cell r="H346">
            <v>800</v>
          </cell>
          <cell r="I346">
            <v>12000</v>
          </cell>
          <cell r="J346" t="str">
            <v>Non</v>
          </cell>
          <cell r="K346" t="str">
            <v>Générique</v>
          </cell>
        </row>
        <row r="347">
          <cell r="A347">
            <v>4549</v>
          </cell>
          <cell r="B347" t="str">
            <v>IdeaHub ES2_86inch</v>
          </cell>
          <cell r="C347" t="str">
            <v>OBS</v>
          </cell>
          <cell r="D347" t="str">
            <v>PCE</v>
          </cell>
          <cell r="F347">
            <v>2</v>
          </cell>
          <cell r="G347">
            <v>2</v>
          </cell>
          <cell r="H347">
            <v>4059156.5612242902</v>
          </cell>
          <cell r="I347">
            <v>8118313.1224485803</v>
          </cell>
          <cell r="J347" t="str">
            <v>oui</v>
          </cell>
          <cell r="K347" t="str">
            <v>cisco</v>
          </cell>
        </row>
        <row r="348">
          <cell r="A348">
            <v>4550</v>
          </cell>
          <cell r="B348" t="str">
            <v>902-0162-EU00 Alimentation 230VAC et POE GbE 21W pour 70x5/73xx/7731/79x2/H500/Rxx0/T30x</v>
          </cell>
          <cell r="C348" t="str">
            <v>OBS</v>
          </cell>
          <cell r="D348" t="str">
            <v>PCE</v>
          </cell>
          <cell r="E348">
            <v>5</v>
          </cell>
          <cell r="G348">
            <v>5</v>
          </cell>
          <cell r="H348">
            <v>27976</v>
          </cell>
          <cell r="I348">
            <v>139880</v>
          </cell>
          <cell r="J348" t="str">
            <v>Oui</v>
          </cell>
          <cell r="K348" t="str">
            <v>Ruckus</v>
          </cell>
        </row>
        <row r="349">
          <cell r="A349">
            <v>4555</v>
          </cell>
          <cell r="B349" t="str">
            <v>FAP-431F-I Indoor Wireless FortiAP - Tri radio (2x 802.11 a/b/g/n/ac/ax, 4x4 MIMO and 1x 802.11 a/b/g/n/ac Wave 2,</v>
          </cell>
          <cell r="C349" t="str">
            <v>OBS</v>
          </cell>
          <cell r="D349" t="str">
            <v>PCE</v>
          </cell>
          <cell r="E349">
            <v>2</v>
          </cell>
          <cell r="G349">
            <v>2</v>
          </cell>
          <cell r="H349">
            <v>220669.51694369299</v>
          </cell>
          <cell r="I349">
            <v>441339.03388738597</v>
          </cell>
          <cell r="J349" t="str">
            <v>Oui</v>
          </cell>
          <cell r="K349" t="str">
            <v>Fortinet</v>
          </cell>
        </row>
        <row r="350">
          <cell r="A350">
            <v>4565</v>
          </cell>
          <cell r="B350" t="str">
            <v>033590 PANN. A EQUIPER LCS</v>
          </cell>
          <cell r="C350" t="str">
            <v>OBS</v>
          </cell>
          <cell r="D350" t="str">
            <v>PCE</v>
          </cell>
          <cell r="F350">
            <v>3</v>
          </cell>
          <cell r="G350">
            <v>3</v>
          </cell>
          <cell r="H350">
            <v>30361</v>
          </cell>
          <cell r="I350">
            <v>91083</v>
          </cell>
          <cell r="J350" t="str">
            <v>Non</v>
          </cell>
          <cell r="K350" t="str">
            <v>Legrand</v>
          </cell>
        </row>
        <row r="351">
          <cell r="A351">
            <v>4566</v>
          </cell>
          <cell r="B351" t="str">
            <v>046554 BLOC ALIM 19P 6X2P+T</v>
          </cell>
          <cell r="C351" t="str">
            <v>OBS</v>
          </cell>
          <cell r="D351" t="str">
            <v>PCE</v>
          </cell>
          <cell r="E351">
            <v>16</v>
          </cell>
          <cell r="G351">
            <v>16</v>
          </cell>
          <cell r="H351">
            <v>6406.25</v>
          </cell>
          <cell r="I351">
            <v>102500</v>
          </cell>
          <cell r="J351" t="str">
            <v>Non</v>
          </cell>
          <cell r="K351" t="str">
            <v>Legrand</v>
          </cell>
        </row>
        <row r="352">
          <cell r="A352">
            <v>4570</v>
          </cell>
          <cell r="B352" t="str">
            <v>Armoire 18U 624264</v>
          </cell>
          <cell r="C352" t="str">
            <v>OBS</v>
          </cell>
          <cell r="D352" t="str">
            <v>PCE</v>
          </cell>
          <cell r="F352">
            <v>2</v>
          </cell>
          <cell r="G352">
            <v>2</v>
          </cell>
          <cell r="H352">
            <v>162386</v>
          </cell>
          <cell r="I352">
            <v>324772</v>
          </cell>
          <cell r="J352" t="str">
            <v>Non</v>
          </cell>
          <cell r="K352" t="str">
            <v>Legrand</v>
          </cell>
        </row>
        <row r="353">
          <cell r="A353">
            <v>4575</v>
          </cell>
          <cell r="B353" t="str">
            <v>cable 24 fibre optique OM3</v>
          </cell>
          <cell r="C353" t="str">
            <v>OBS</v>
          </cell>
          <cell r="D353" t="str">
            <v>PCE</v>
          </cell>
          <cell r="F353">
            <v>3200</v>
          </cell>
          <cell r="G353">
            <v>3200</v>
          </cell>
          <cell r="H353">
            <v>3300</v>
          </cell>
          <cell r="I353">
            <v>10560000</v>
          </cell>
          <cell r="J353" t="str">
            <v>Non</v>
          </cell>
          <cell r="K353" t="str">
            <v>Générique</v>
          </cell>
        </row>
        <row r="354">
          <cell r="A354">
            <v>4588</v>
          </cell>
          <cell r="B354" t="str">
            <v>FS-148F-FPOE FortiSwitch-148F-FPOE is a performance/price competitive L2+ management switch with 48x GE port + 4x SFP+ port + 1x RJ45 console. Port 1- 48 are POE</v>
          </cell>
          <cell r="C354" t="str">
            <v>OBS</v>
          </cell>
          <cell r="D354" t="str">
            <v>PCE</v>
          </cell>
          <cell r="E354">
            <v>6</v>
          </cell>
          <cell r="F354">
            <v>6</v>
          </cell>
          <cell r="G354">
            <v>12</v>
          </cell>
          <cell r="H354">
            <v>715690.90006989497</v>
          </cell>
          <cell r="I354">
            <v>8588290.8008387387</v>
          </cell>
          <cell r="J354" t="str">
            <v>Oui</v>
          </cell>
          <cell r="K354" t="str">
            <v>Fortinet</v>
          </cell>
        </row>
        <row r="355">
          <cell r="A355">
            <v>4609</v>
          </cell>
          <cell r="B355" t="str">
            <v>LaNmark -Of Patchcord Multimode  62.5/125/3mm   2ST-2ST  N123.OTT02</v>
          </cell>
          <cell r="C355" t="str">
            <v>OBS</v>
          </cell>
          <cell r="D355" t="str">
            <v>PCE</v>
          </cell>
          <cell r="F355">
            <v>2</v>
          </cell>
          <cell r="G355">
            <v>2</v>
          </cell>
          <cell r="H355">
            <v>10266</v>
          </cell>
          <cell r="I355">
            <v>20532</v>
          </cell>
          <cell r="J355" t="str">
            <v>Oui</v>
          </cell>
          <cell r="K355" t="str">
            <v>Nexans</v>
          </cell>
        </row>
        <row r="356">
          <cell r="A356">
            <v>4610</v>
          </cell>
          <cell r="B356" t="str">
            <v>N115.P1B050OU LANmark-5 Patch Cord Category 5e Screened PVC 5m  Orange</v>
          </cell>
          <cell r="C356" t="str">
            <v>OBS</v>
          </cell>
          <cell r="D356" t="str">
            <v>PCE</v>
          </cell>
          <cell r="E356">
            <v>2</v>
          </cell>
          <cell r="G356">
            <v>2</v>
          </cell>
          <cell r="H356">
            <v>2361</v>
          </cell>
          <cell r="I356">
            <v>4722</v>
          </cell>
          <cell r="J356" t="str">
            <v>Oui</v>
          </cell>
          <cell r="K356" t="str">
            <v>Nexans</v>
          </cell>
        </row>
        <row r="357">
          <cell r="A357">
            <v>4635</v>
          </cell>
          <cell r="B357" t="str">
            <v>3EH76190AA RACK CHARGER FOR 2x 1kW POWER SUPPLY</v>
          </cell>
          <cell r="C357" t="str">
            <v>OBS</v>
          </cell>
          <cell r="D357" t="str">
            <v>PCE</v>
          </cell>
          <cell r="F357">
            <v>5</v>
          </cell>
          <cell r="G357">
            <v>5</v>
          </cell>
          <cell r="H357">
            <v>229584.95</v>
          </cell>
          <cell r="I357">
            <v>1147924.75</v>
          </cell>
          <cell r="J357" t="str">
            <v>Oui</v>
          </cell>
          <cell r="K357" t="str">
            <v>Alcatel-Lucent</v>
          </cell>
        </row>
        <row r="358">
          <cell r="A358">
            <v>4637</v>
          </cell>
          <cell r="B358" t="str">
            <v>3EH73100AC VoIP64 daughterboard - 64 VoIP channels</v>
          </cell>
          <cell r="C358" t="str">
            <v>OBS</v>
          </cell>
          <cell r="D358" t="str">
            <v>PCE</v>
          </cell>
          <cell r="E358">
            <v>2</v>
          </cell>
          <cell r="F358">
            <v>15</v>
          </cell>
          <cell r="G358">
            <v>17</v>
          </cell>
          <cell r="H358">
            <v>159814.97818181801</v>
          </cell>
          <cell r="I358">
            <v>2716854.6290909061</v>
          </cell>
          <cell r="J358" t="str">
            <v>Oui</v>
          </cell>
          <cell r="K358" t="str">
            <v>Alcatel-Lucent</v>
          </cell>
        </row>
        <row r="359">
          <cell r="A359">
            <v>4641</v>
          </cell>
          <cell r="B359" t="str">
            <v>3EH08439AA MODULE D'EXTENSION RACK 3</v>
          </cell>
          <cell r="C359" t="str">
            <v>OBS</v>
          </cell>
          <cell r="D359" t="str">
            <v>PCE</v>
          </cell>
          <cell r="F359">
            <v>1</v>
          </cell>
          <cell r="G359">
            <v>1</v>
          </cell>
          <cell r="H359">
            <v>198103</v>
          </cell>
          <cell r="I359">
            <v>198103</v>
          </cell>
          <cell r="J359" t="str">
            <v>Oui</v>
          </cell>
          <cell r="K359" t="str">
            <v>Alcatel-Lucent</v>
          </cell>
        </row>
        <row r="360">
          <cell r="A360">
            <v>4643</v>
          </cell>
          <cell r="B360" t="str">
            <v>N115.P1B050OU LANmark-5 Patch Cord Category 5e Screened PVC 5m  Orange</v>
          </cell>
          <cell r="C360" t="str">
            <v>OBS</v>
          </cell>
          <cell r="D360" t="str">
            <v>PCE</v>
          </cell>
          <cell r="F360">
            <v>90</v>
          </cell>
          <cell r="G360">
            <v>90</v>
          </cell>
          <cell r="H360">
            <v>2314</v>
          </cell>
          <cell r="I360">
            <v>208260</v>
          </cell>
          <cell r="J360" t="str">
            <v>Oui</v>
          </cell>
          <cell r="K360" t="str">
            <v>Nexans</v>
          </cell>
        </row>
        <row r="361">
          <cell r="A361">
            <v>4660</v>
          </cell>
          <cell r="B361" t="str">
            <v>soundstation IP6000 Réf : 2200-15660-122</v>
          </cell>
          <cell r="C361" t="str">
            <v>OBS</v>
          </cell>
          <cell r="D361" t="str">
            <v>PCE</v>
          </cell>
          <cell r="F361">
            <v>1</v>
          </cell>
          <cell r="G361">
            <v>1</v>
          </cell>
          <cell r="H361">
            <v>443656</v>
          </cell>
          <cell r="I361">
            <v>443656</v>
          </cell>
          <cell r="J361" t="str">
            <v>Oui</v>
          </cell>
          <cell r="K361" t="str">
            <v>Générique</v>
          </cell>
        </row>
        <row r="362">
          <cell r="A362">
            <v>4662</v>
          </cell>
          <cell r="B362" t="str">
            <v>Tuyau PVC Evacuation Diamètre 63</v>
          </cell>
          <cell r="C362" t="str">
            <v>OBS</v>
          </cell>
          <cell r="D362" t="str">
            <v>PCE</v>
          </cell>
          <cell r="F362">
            <v>1060</v>
          </cell>
          <cell r="G362">
            <v>1060</v>
          </cell>
          <cell r="H362">
            <v>3938</v>
          </cell>
          <cell r="I362">
            <v>4174280</v>
          </cell>
          <cell r="J362" t="str">
            <v>Non</v>
          </cell>
          <cell r="K362" t="str">
            <v>Générique</v>
          </cell>
        </row>
        <row r="363">
          <cell r="A363">
            <v>4663</v>
          </cell>
          <cell r="B363" t="str">
            <v>Coude PVC Evacuation 1/8 (45*) Diam 63</v>
          </cell>
          <cell r="C363" t="str">
            <v>OBS</v>
          </cell>
          <cell r="D363" t="str">
            <v>PCE</v>
          </cell>
          <cell r="F363">
            <v>20</v>
          </cell>
          <cell r="G363">
            <v>20</v>
          </cell>
          <cell r="H363">
            <v>231</v>
          </cell>
          <cell r="I363">
            <v>4620</v>
          </cell>
          <cell r="J363" t="str">
            <v>Non</v>
          </cell>
          <cell r="K363" t="str">
            <v>Générique</v>
          </cell>
        </row>
        <row r="364">
          <cell r="A364">
            <v>4676</v>
          </cell>
          <cell r="B364" t="str">
            <v>AIR-AP3802I-E-K9 802.11ac Wave 2 AP w/CleanAir, 4x4:3, Mod, Internal Antenna, mGig, E Regulatory Domain</v>
          </cell>
          <cell r="C364" t="str">
            <v>OBS</v>
          </cell>
          <cell r="D364" t="str">
            <v>PCE</v>
          </cell>
          <cell r="E364">
            <v>1</v>
          </cell>
          <cell r="F364">
            <v>15</v>
          </cell>
          <cell r="G364">
            <v>16</v>
          </cell>
          <cell r="H364">
            <v>499990</v>
          </cell>
          <cell r="I364">
            <v>7999840</v>
          </cell>
          <cell r="J364" t="str">
            <v>Oui</v>
          </cell>
          <cell r="K364" t="str">
            <v>Cisco</v>
          </cell>
        </row>
        <row r="365">
          <cell r="A365">
            <v>4681</v>
          </cell>
          <cell r="B365" t="str">
            <v>032603 CORDON SC/LC 9/125MICRON 1M</v>
          </cell>
          <cell r="C365" t="str">
            <v>OBS</v>
          </cell>
          <cell r="D365" t="str">
            <v>PCE</v>
          </cell>
          <cell r="F365">
            <v>15</v>
          </cell>
          <cell r="G365">
            <v>15</v>
          </cell>
          <cell r="H365">
            <v>13250</v>
          </cell>
          <cell r="I365">
            <v>198750</v>
          </cell>
          <cell r="J365" t="str">
            <v>Non</v>
          </cell>
          <cell r="K365" t="str">
            <v>Legrand</v>
          </cell>
        </row>
        <row r="366">
          <cell r="A366">
            <v>4682</v>
          </cell>
          <cell r="B366" t="str">
            <v>FAP-23JF-I Wall Plate AP - Tri-radio (802.11 b/g/n/ax 2x2 MU-MIMO and 802.11 a/n/ac/ax 2x2 MU-MIMO), internal antennas,</v>
          </cell>
          <cell r="C366" t="str">
            <v>OBS</v>
          </cell>
          <cell r="D366" t="str">
            <v>PCE</v>
          </cell>
          <cell r="E366">
            <v>3</v>
          </cell>
          <cell r="G366">
            <v>3</v>
          </cell>
          <cell r="H366">
            <v>137082.57870744501</v>
          </cell>
          <cell r="I366">
            <v>411247.73612233502</v>
          </cell>
          <cell r="J366" t="str">
            <v>Oui</v>
          </cell>
          <cell r="K366" t="str">
            <v>Fortinet</v>
          </cell>
        </row>
        <row r="367">
          <cell r="A367">
            <v>4716</v>
          </cell>
          <cell r="B367" t="str">
            <v>3MG27205WW 8078S PREMIUM IP DESKPHONE IN BLACK</v>
          </cell>
          <cell r="C367" t="str">
            <v>OBS</v>
          </cell>
          <cell r="D367" t="str">
            <v>PCE</v>
          </cell>
          <cell r="E367">
            <v>4</v>
          </cell>
          <cell r="F367">
            <v>57</v>
          </cell>
          <cell r="G367">
            <v>61</v>
          </cell>
          <cell r="H367">
            <v>180060.19649999999</v>
          </cell>
          <cell r="I367">
            <v>10983671.986499999</v>
          </cell>
          <cell r="J367" t="str">
            <v>Oui</v>
          </cell>
          <cell r="K367" t="str">
            <v>Alcatel-Lucent</v>
          </cell>
        </row>
        <row r="368">
          <cell r="A368">
            <v>4809</v>
          </cell>
          <cell r="B368" t="str">
            <v>Jabra Casque-Micro BIZ 2300 Duo version USB Réf: 2399-829-109</v>
          </cell>
          <cell r="C368" t="str">
            <v>OBS</v>
          </cell>
          <cell r="D368" t="str">
            <v>PCE</v>
          </cell>
          <cell r="E368">
            <v>1</v>
          </cell>
          <cell r="G368">
            <v>1</v>
          </cell>
          <cell r="H368">
            <v>48070.317933636303</v>
          </cell>
          <cell r="I368">
            <v>48070.317933636303</v>
          </cell>
          <cell r="J368" t="str">
            <v>Oui</v>
          </cell>
          <cell r="K368" t="str">
            <v>Générique</v>
          </cell>
        </row>
        <row r="369">
          <cell r="A369">
            <v>4810</v>
          </cell>
          <cell r="B369" t="str">
            <v>Cordon pour gamme IP Touch Réf: JABRA 8735-019</v>
          </cell>
          <cell r="C369" t="str">
            <v>OBS</v>
          </cell>
          <cell r="D369" t="str">
            <v>PCE</v>
          </cell>
          <cell r="E369">
            <v>24</v>
          </cell>
          <cell r="G369">
            <v>24</v>
          </cell>
          <cell r="H369">
            <v>3727</v>
          </cell>
          <cell r="I369">
            <v>89448</v>
          </cell>
          <cell r="J369" t="str">
            <v>Non</v>
          </cell>
          <cell r="K369" t="str">
            <v>Générique</v>
          </cell>
        </row>
        <row r="370">
          <cell r="A370">
            <v>4811</v>
          </cell>
          <cell r="B370" t="str">
            <v>FN-TRAN-SFP+SR 10GE SFP+ transceiver module short range for all systems with SFP+ a</v>
          </cell>
          <cell r="C370" t="str">
            <v>OBS</v>
          </cell>
          <cell r="D370" t="str">
            <v>PCE</v>
          </cell>
          <cell r="E370">
            <v>3</v>
          </cell>
          <cell r="G370">
            <v>3</v>
          </cell>
          <cell r="H370">
            <v>38298.015337335099</v>
          </cell>
          <cell r="I370">
            <v>114894.0460120053</v>
          </cell>
          <cell r="J370" t="str">
            <v>Oui</v>
          </cell>
          <cell r="K370" t="str">
            <v>Fortinet</v>
          </cell>
        </row>
        <row r="371">
          <cell r="A371">
            <v>4812</v>
          </cell>
          <cell r="B371" t="str">
            <v>EncorePro 320, EP320 QD, WW Réf : 214573-01</v>
          </cell>
          <cell r="C371" t="str">
            <v>OBS</v>
          </cell>
          <cell r="D371" t="str">
            <v>PCE</v>
          </cell>
          <cell r="E371">
            <v>3</v>
          </cell>
          <cell r="G371">
            <v>3</v>
          </cell>
          <cell r="H371">
            <v>16398.924999999999</v>
          </cell>
          <cell r="I371">
            <v>49196.774999999994</v>
          </cell>
          <cell r="J371" t="str">
            <v>Oui</v>
          </cell>
          <cell r="K371" t="str">
            <v>Générique</v>
          </cell>
        </row>
        <row r="372">
          <cell r="A372">
            <v>4834</v>
          </cell>
          <cell r="B372" t="str">
            <v>X2-10GB-LR= 10GBASE-LR X2 Module</v>
          </cell>
          <cell r="C372" t="str">
            <v>OBS</v>
          </cell>
          <cell r="D372" t="str">
            <v>PCE</v>
          </cell>
          <cell r="F372">
            <v>1</v>
          </cell>
          <cell r="G372">
            <v>1</v>
          </cell>
          <cell r="H372">
            <v>626929</v>
          </cell>
          <cell r="I372">
            <v>626929</v>
          </cell>
          <cell r="J372" t="str">
            <v>Oui</v>
          </cell>
          <cell r="K372" t="str">
            <v>Cisco</v>
          </cell>
        </row>
        <row r="373">
          <cell r="A373">
            <v>4837</v>
          </cell>
          <cell r="B373" t="str">
            <v>AIR-AP1562I-E-K9 802.11ac W2 Low-Profile Outdoor AP, Internal Ant, E Reg Dom.</v>
          </cell>
          <cell r="C373" t="str">
            <v>OBS</v>
          </cell>
          <cell r="D373" t="str">
            <v>PCE</v>
          </cell>
          <cell r="F373">
            <v>2</v>
          </cell>
          <cell r="G373">
            <v>2</v>
          </cell>
          <cell r="H373">
            <v>389346.56</v>
          </cell>
          <cell r="I373">
            <v>778693.12</v>
          </cell>
          <cell r="J373" t="str">
            <v>Oui</v>
          </cell>
          <cell r="K373" t="str">
            <v>Cisco</v>
          </cell>
        </row>
        <row r="374">
          <cell r="A374">
            <v>4859</v>
          </cell>
          <cell r="B374" t="str">
            <v>OAG6040 GOULOTTE 60X40 (m)</v>
          </cell>
          <cell r="C374" t="str">
            <v>OBS</v>
          </cell>
          <cell r="D374" t="str">
            <v>PCE</v>
          </cell>
          <cell r="F374">
            <v>204</v>
          </cell>
          <cell r="G374">
            <v>204</v>
          </cell>
          <cell r="H374">
            <v>2463.91923705722</v>
          </cell>
          <cell r="I374">
            <v>502639.52435967291</v>
          </cell>
          <cell r="J374" t="str">
            <v>Non</v>
          </cell>
          <cell r="K374" t="str">
            <v>Générique</v>
          </cell>
        </row>
        <row r="375">
          <cell r="A375">
            <v>4860</v>
          </cell>
          <cell r="B375" t="str">
            <v>OAIN6040 ANGLE INTERIEUR VARIABLE</v>
          </cell>
          <cell r="C375" t="str">
            <v>OBS</v>
          </cell>
          <cell r="D375" t="str">
            <v>PCE</v>
          </cell>
          <cell r="E375">
            <v>33</v>
          </cell>
          <cell r="F375">
            <v>105</v>
          </cell>
          <cell r="G375">
            <v>138</v>
          </cell>
          <cell r="H375">
            <v>973.52135187705596</v>
          </cell>
          <cell r="I375">
            <v>134345.94655903373</v>
          </cell>
          <cell r="J375" t="str">
            <v>Non</v>
          </cell>
          <cell r="K375" t="str">
            <v>Générique</v>
          </cell>
        </row>
        <row r="376">
          <cell r="A376">
            <v>4861</v>
          </cell>
          <cell r="B376" t="str">
            <v>OAEX6040 ANGLE EXTERIEUR VARIABLE</v>
          </cell>
          <cell r="C376" t="str">
            <v>OBS</v>
          </cell>
          <cell r="D376" t="str">
            <v>PCE</v>
          </cell>
          <cell r="E376">
            <v>72</v>
          </cell>
          <cell r="F376">
            <v>370</v>
          </cell>
          <cell r="G376">
            <v>442</v>
          </cell>
          <cell r="H376">
            <v>819.02971996517101</v>
          </cell>
          <cell r="I376">
            <v>362011.13622460561</v>
          </cell>
          <cell r="J376" t="str">
            <v>Non</v>
          </cell>
          <cell r="K376" t="str">
            <v>Générique</v>
          </cell>
        </row>
        <row r="377">
          <cell r="A377">
            <v>4862</v>
          </cell>
          <cell r="B377" t="str">
            <v>OAPL6040 ANGLE PLAT VARIABLE</v>
          </cell>
          <cell r="C377" t="str">
            <v>OBS</v>
          </cell>
          <cell r="D377" t="str">
            <v>PCE</v>
          </cell>
          <cell r="E377">
            <v>42</v>
          </cell>
          <cell r="F377">
            <v>80</v>
          </cell>
          <cell r="G377">
            <v>122</v>
          </cell>
          <cell r="H377">
            <v>950</v>
          </cell>
          <cell r="I377">
            <v>115900</v>
          </cell>
          <cell r="J377" t="str">
            <v>Non</v>
          </cell>
          <cell r="K377" t="str">
            <v>Générique</v>
          </cell>
        </row>
        <row r="378">
          <cell r="A378">
            <v>4863</v>
          </cell>
          <cell r="B378" t="str">
            <v>OAEM6040 EMBOUT</v>
          </cell>
          <cell r="C378" t="str">
            <v>OBS</v>
          </cell>
          <cell r="D378" t="str">
            <v>PCE</v>
          </cell>
          <cell r="E378">
            <v>33</v>
          </cell>
          <cell r="F378">
            <v>65</v>
          </cell>
          <cell r="G378">
            <v>98</v>
          </cell>
          <cell r="H378">
            <v>671.43737166324399</v>
          </cell>
          <cell r="I378">
            <v>65800.862422997918</v>
          </cell>
          <cell r="J378" t="str">
            <v>Non</v>
          </cell>
          <cell r="K378" t="str">
            <v>Générique</v>
          </cell>
        </row>
        <row r="379">
          <cell r="A379">
            <v>4869</v>
          </cell>
          <cell r="B379" t="str">
            <v>OA5710V-4G-EU OA5710V ESR with 4G/LTE for Global LTE at 800/900/1800/2100/2600 MHz, fallback to OA5710V ESR with 4G/LTE for Global LTE a</v>
          </cell>
          <cell r="C379" t="str">
            <v>OBS</v>
          </cell>
          <cell r="D379" t="str">
            <v>PCE</v>
          </cell>
          <cell r="F379">
            <v>3</v>
          </cell>
          <cell r="G379">
            <v>3</v>
          </cell>
          <cell r="H379">
            <v>260196</v>
          </cell>
          <cell r="I379">
            <v>780588</v>
          </cell>
          <cell r="J379" t="str">
            <v>Oui</v>
          </cell>
          <cell r="K379" t="str">
            <v>Alcatel-Lucent</v>
          </cell>
        </row>
        <row r="380">
          <cell r="A380">
            <v>4881</v>
          </cell>
          <cell r="B380" t="str">
            <v>FG-50E-BDL FortiGate-50E Hardware plus 1 Year 8x5 FortiCare and FortiGuard UTM B</v>
          </cell>
          <cell r="C380" t="str">
            <v>OBS</v>
          </cell>
          <cell r="D380" t="str">
            <v>PCE</v>
          </cell>
          <cell r="E380">
            <v>1</v>
          </cell>
          <cell r="G380">
            <v>1</v>
          </cell>
          <cell r="H380">
            <v>266040.47624181799</v>
          </cell>
          <cell r="I380">
            <v>266040.47624181799</v>
          </cell>
          <cell r="J380" t="str">
            <v>Oui</v>
          </cell>
          <cell r="K380" t="str">
            <v>Fortinet</v>
          </cell>
        </row>
        <row r="381">
          <cell r="A381">
            <v>4883</v>
          </cell>
          <cell r="B381" t="str">
            <v>AIR-CAP3702I-E-K9 802.11ac Ctrlr AP 4x4:3SS w/CleanAir; Int Ant; E Reg Domain</v>
          </cell>
          <cell r="C381" t="str">
            <v>OBS</v>
          </cell>
          <cell r="D381" t="str">
            <v>PCE</v>
          </cell>
          <cell r="F381">
            <v>5</v>
          </cell>
          <cell r="G381">
            <v>5</v>
          </cell>
          <cell r="H381">
            <v>327933</v>
          </cell>
          <cell r="I381">
            <v>1639665</v>
          </cell>
          <cell r="J381" t="str">
            <v>Oui</v>
          </cell>
          <cell r="K381" t="str">
            <v>Cisco</v>
          </cell>
        </row>
        <row r="382">
          <cell r="A382">
            <v>4888</v>
          </cell>
          <cell r="B382" t="str">
            <v>EHWIC-1GE-SFP-CU= EHWIC 1 port dual mode SFP(100M/1G) or GE(10M/100M/1G) Spare</v>
          </cell>
          <cell r="C382" t="str">
            <v>OBS</v>
          </cell>
          <cell r="D382" t="str">
            <v>PCE</v>
          </cell>
          <cell r="F382">
            <v>157</v>
          </cell>
          <cell r="G382">
            <v>157</v>
          </cell>
          <cell r="H382">
            <v>132376.820359281</v>
          </cell>
          <cell r="I382">
            <v>20783160.796407118</v>
          </cell>
          <cell r="J382" t="str">
            <v>Oui</v>
          </cell>
          <cell r="K382" t="str">
            <v>Cisco</v>
          </cell>
        </row>
        <row r="383">
          <cell r="A383">
            <v>4921</v>
          </cell>
          <cell r="B383" t="str">
            <v>3MG27109AA BLUETOOTH HANDSET</v>
          </cell>
          <cell r="C383" t="str">
            <v>OBS</v>
          </cell>
          <cell r="D383" t="str">
            <v>U</v>
          </cell>
          <cell r="E383">
            <v>11</v>
          </cell>
          <cell r="F383">
            <v>8</v>
          </cell>
          <cell r="G383">
            <v>19</v>
          </cell>
          <cell r="H383">
            <v>32601</v>
          </cell>
          <cell r="I383">
            <v>619419</v>
          </cell>
          <cell r="J383" t="str">
            <v>Oui</v>
          </cell>
          <cell r="K383" t="str">
            <v>Alcatel-Lucent</v>
          </cell>
        </row>
        <row r="384">
          <cell r="A384">
            <v>4928</v>
          </cell>
          <cell r="B384" t="str">
            <v>FAP-23JF-E Wall Plate AP - Tri-radio (802.11 b/g/n/ax 2x2 MU-MIMO and 802.11 a/n/ac/ax 2x2 MU-MIMO), internal antennas, 4 x</v>
          </cell>
          <cell r="C384" t="str">
            <v>OBS</v>
          </cell>
          <cell r="D384" t="str">
            <v>PCE</v>
          </cell>
          <cell r="E384">
            <v>3</v>
          </cell>
          <cell r="G384">
            <v>3</v>
          </cell>
          <cell r="H384">
            <v>172476.17600000001</v>
          </cell>
          <cell r="I384">
            <v>517428.52800000005</v>
          </cell>
          <cell r="J384" t="str">
            <v>Oui</v>
          </cell>
          <cell r="K384" t="str">
            <v>Fortinet</v>
          </cell>
        </row>
        <row r="385">
          <cell r="A385">
            <v>4929</v>
          </cell>
          <cell r="B385" t="str">
            <v>GPI-115 GPI-115 Gigabit PoE Injector</v>
          </cell>
          <cell r="C385" t="str">
            <v>OBS</v>
          </cell>
          <cell r="D385" t="str">
            <v>PCE</v>
          </cell>
          <cell r="F385">
            <v>1</v>
          </cell>
          <cell r="G385">
            <v>1</v>
          </cell>
          <cell r="H385">
            <v>20249</v>
          </cell>
          <cell r="I385">
            <v>20249</v>
          </cell>
          <cell r="J385" t="str">
            <v>Non</v>
          </cell>
          <cell r="K385" t="str">
            <v>Générique</v>
          </cell>
        </row>
        <row r="386">
          <cell r="A386">
            <v>4930</v>
          </cell>
          <cell r="B386" t="str">
            <v>CABLE SERIE 74/14P/6 (m)</v>
          </cell>
          <cell r="C386" t="str">
            <v>OBS</v>
          </cell>
          <cell r="D386" t="str">
            <v>PCE</v>
          </cell>
          <cell r="F386">
            <v>50</v>
          </cell>
          <cell r="G386">
            <v>50</v>
          </cell>
          <cell r="H386">
            <v>977</v>
          </cell>
          <cell r="I386">
            <v>48850</v>
          </cell>
          <cell r="J386" t="str">
            <v>Non</v>
          </cell>
          <cell r="K386" t="str">
            <v>Générique</v>
          </cell>
        </row>
        <row r="387">
          <cell r="A387">
            <v>4948</v>
          </cell>
          <cell r="B387" t="str">
            <v>3BA27056AA SDRAM 256 MB: 256 MB memory card for CPU7/CPU7-2</v>
          </cell>
          <cell r="C387" t="str">
            <v>OBS</v>
          </cell>
          <cell r="D387" t="str">
            <v>PCE</v>
          </cell>
          <cell r="E387">
            <v>3</v>
          </cell>
          <cell r="G387">
            <v>3</v>
          </cell>
          <cell r="H387">
            <v>77427</v>
          </cell>
          <cell r="I387">
            <v>232281</v>
          </cell>
          <cell r="J387" t="str">
            <v>Oui</v>
          </cell>
          <cell r="K387" t="str">
            <v>Alcatel-Lucent</v>
          </cell>
        </row>
        <row r="388">
          <cell r="A388">
            <v>4954</v>
          </cell>
          <cell r="B388" t="str">
            <v>N115.P2A200DU(LANmark-5 Patch Cord Cat 5e Unscreened PVC 20m Grey</v>
          </cell>
          <cell r="C388" t="str">
            <v>OBS</v>
          </cell>
          <cell r="D388" t="str">
            <v>PCE</v>
          </cell>
          <cell r="E388">
            <v>5</v>
          </cell>
          <cell r="G388">
            <v>5</v>
          </cell>
          <cell r="H388">
            <v>5563</v>
          </cell>
          <cell r="I388">
            <v>27815</v>
          </cell>
          <cell r="J388" t="str">
            <v>Oui</v>
          </cell>
          <cell r="K388" t="str">
            <v>Nexans</v>
          </cell>
        </row>
        <row r="389">
          <cell r="A389">
            <v>4958</v>
          </cell>
          <cell r="B389" t="str">
            <v>3MG27209AA WIDE BAND BLUETOOTH® HANDSET</v>
          </cell>
          <cell r="C389" t="str">
            <v>OBS</v>
          </cell>
          <cell r="D389" t="str">
            <v>PCE</v>
          </cell>
          <cell r="E389">
            <v>1</v>
          </cell>
          <cell r="F389">
            <v>15</v>
          </cell>
          <cell r="G389">
            <v>16</v>
          </cell>
          <cell r="H389">
            <v>38924.488380000003</v>
          </cell>
          <cell r="I389">
            <v>622791.81408000004</v>
          </cell>
          <cell r="J389" t="str">
            <v>Oui</v>
          </cell>
          <cell r="K389" t="str">
            <v>Alcatel-Lucent</v>
          </cell>
        </row>
        <row r="390">
          <cell r="A390">
            <v>4959</v>
          </cell>
          <cell r="B390" t="str">
            <v>N102.118 Armoire informatique 18U  Nexans</v>
          </cell>
          <cell r="C390" t="str">
            <v>OBS</v>
          </cell>
          <cell r="D390" t="str">
            <v>PCE</v>
          </cell>
          <cell r="F390">
            <v>2</v>
          </cell>
          <cell r="G390">
            <v>2</v>
          </cell>
          <cell r="H390">
            <v>260841.30105000001</v>
          </cell>
          <cell r="I390">
            <v>521682.60210000002</v>
          </cell>
          <cell r="J390" t="str">
            <v>Oui</v>
          </cell>
          <cell r="K390" t="str">
            <v>Nexans</v>
          </cell>
        </row>
        <row r="391">
          <cell r="A391">
            <v>4960</v>
          </cell>
          <cell r="B391" t="str">
            <v>N420.66A LANmark-6A Evo Snap-In Connector Cat 6A Screened</v>
          </cell>
          <cell r="C391" t="str">
            <v>OBS</v>
          </cell>
          <cell r="D391" t="str">
            <v>PCE</v>
          </cell>
          <cell r="E391">
            <v>438</v>
          </cell>
          <cell r="F391">
            <v>3955</v>
          </cell>
          <cell r="G391">
            <v>4393</v>
          </cell>
          <cell r="H391">
            <v>3567.2945730854599</v>
          </cell>
          <cell r="I391">
            <v>15671125.059564425</v>
          </cell>
          <cell r="J391" t="str">
            <v>Non</v>
          </cell>
          <cell r="K391" t="str">
            <v>Nexans</v>
          </cell>
        </row>
        <row r="392">
          <cell r="A392">
            <v>4961</v>
          </cell>
          <cell r="B392" t="str">
            <v>N11A.U1F010DK LANmark-6A Ultim Patch Cord Category 6A Screened LSZH 1m</v>
          </cell>
          <cell r="C392" t="str">
            <v>OBS</v>
          </cell>
          <cell r="D392" t="str">
            <v>PCE</v>
          </cell>
          <cell r="E392">
            <v>260</v>
          </cell>
          <cell r="F392">
            <v>3904</v>
          </cell>
          <cell r="G392">
            <v>4164</v>
          </cell>
          <cell r="H392">
            <v>3968.7480903174601</v>
          </cell>
          <cell r="I392">
            <v>16525867.048081905</v>
          </cell>
          <cell r="J392" t="str">
            <v>oui</v>
          </cell>
          <cell r="K392" t="str">
            <v>Nexans</v>
          </cell>
        </row>
        <row r="393">
          <cell r="A393">
            <v>4962</v>
          </cell>
          <cell r="B393" t="str">
            <v>N11A.U1F030DK LANmark-6A Ultim Patch Cord Category 6A Screened LSZH 3m</v>
          </cell>
          <cell r="C393" t="str">
            <v>OBS</v>
          </cell>
          <cell r="D393" t="str">
            <v>PCE</v>
          </cell>
          <cell r="E393">
            <v>167</v>
          </cell>
          <cell r="F393">
            <v>2642</v>
          </cell>
          <cell r="G393">
            <v>2809</v>
          </cell>
          <cell r="H393">
            <v>5562.6715402380996</v>
          </cell>
          <cell r="I393">
            <v>15625544.356528822</v>
          </cell>
          <cell r="J393" t="str">
            <v>Oui</v>
          </cell>
          <cell r="K393" t="str">
            <v>Nexans</v>
          </cell>
        </row>
        <row r="394">
          <cell r="A394">
            <v>5861</v>
          </cell>
          <cell r="B394" t="str">
            <v>OAEX6040  ANGLE EXTERIEUR VARIABLE</v>
          </cell>
          <cell r="C394" t="str">
            <v>OBS</v>
          </cell>
          <cell r="D394" t="str">
            <v>PCE</v>
          </cell>
          <cell r="F394">
            <v>100</v>
          </cell>
          <cell r="G394">
            <v>100</v>
          </cell>
          <cell r="H394">
            <v>950</v>
          </cell>
          <cell r="I394">
            <v>95000</v>
          </cell>
          <cell r="J394" t="str">
            <v>Non</v>
          </cell>
          <cell r="K394" t="str">
            <v>Générique</v>
          </cell>
        </row>
        <row r="395">
          <cell r="A395">
            <v>5862</v>
          </cell>
          <cell r="B395" t="str">
            <v>OAPL6040 ANGLE PLAT VARIABLE</v>
          </cell>
          <cell r="C395" t="str">
            <v>OBS</v>
          </cell>
          <cell r="D395" t="str">
            <v>PCE</v>
          </cell>
          <cell r="F395">
            <v>100</v>
          </cell>
          <cell r="G395">
            <v>100</v>
          </cell>
          <cell r="H395">
            <v>950</v>
          </cell>
          <cell r="I395">
            <v>95000</v>
          </cell>
          <cell r="J395" t="str">
            <v>Non</v>
          </cell>
          <cell r="K395" t="str">
            <v>Générique</v>
          </cell>
        </row>
        <row r="396">
          <cell r="A396">
            <v>30013</v>
          </cell>
          <cell r="B396" t="str">
            <v>GRANDSTREAM GXP1615</v>
          </cell>
          <cell r="C396" t="str">
            <v>OBS</v>
          </cell>
          <cell r="D396" t="str">
            <v>PCE</v>
          </cell>
          <cell r="E396">
            <v>22</v>
          </cell>
          <cell r="F396">
            <v>7</v>
          </cell>
          <cell r="G396">
            <v>29</v>
          </cell>
          <cell r="H396">
            <v>15198.52369</v>
          </cell>
          <cell r="I396">
            <v>440757.18700999999</v>
          </cell>
          <cell r="J396" t="str">
            <v>oui</v>
          </cell>
          <cell r="K396" t="str">
            <v>Grandstream</v>
          </cell>
        </row>
        <row r="397">
          <cell r="A397">
            <v>30019</v>
          </cell>
          <cell r="B397" t="str">
            <v>FG-100F-BDL-950-12 Hardware plus 24x7 FortiCare and FortiGuard Unified Threat Protection (UTP)</v>
          </cell>
          <cell r="C397" t="str">
            <v>OBS</v>
          </cell>
          <cell r="D397" t="str">
            <v>PCE</v>
          </cell>
          <cell r="E397">
            <v>6</v>
          </cell>
          <cell r="G397">
            <v>6</v>
          </cell>
          <cell r="H397">
            <v>1956296.0768762</v>
          </cell>
          <cell r="I397">
            <v>11737776.461257201</v>
          </cell>
          <cell r="J397" t="str">
            <v>Oui</v>
          </cell>
          <cell r="K397" t="str">
            <v>Fortinet</v>
          </cell>
        </row>
        <row r="398">
          <cell r="A398">
            <v>30041</v>
          </cell>
          <cell r="B398" t="str">
            <v>JEU DE 2 MONTANTS 19P 42U LINK LG : 646342</v>
          </cell>
          <cell r="C398" t="str">
            <v>OBS</v>
          </cell>
          <cell r="D398" t="str">
            <v>PCE</v>
          </cell>
          <cell r="F398">
            <v>12</v>
          </cell>
          <cell r="G398">
            <v>12</v>
          </cell>
          <cell r="H398">
            <v>42264.736363636301</v>
          </cell>
          <cell r="I398">
            <v>507176.83636363561</v>
          </cell>
          <cell r="J398" t="str">
            <v>Non</v>
          </cell>
          <cell r="K398" t="str">
            <v>Legrand</v>
          </cell>
        </row>
        <row r="399">
          <cell r="A399">
            <v>30042</v>
          </cell>
          <cell r="B399" t="str">
            <v>BAIE LINKEO2 42U 8X8 A PLAT LG : 646789</v>
          </cell>
          <cell r="C399" t="str">
            <v>OBS</v>
          </cell>
          <cell r="D399" t="str">
            <v>PCE</v>
          </cell>
          <cell r="F399">
            <v>12</v>
          </cell>
          <cell r="G399">
            <v>12</v>
          </cell>
          <cell r="H399">
            <v>598318.69999999995</v>
          </cell>
          <cell r="I399">
            <v>7179824.3999999994</v>
          </cell>
          <cell r="J399" t="str">
            <v>non</v>
          </cell>
          <cell r="K399" t="str">
            <v>Générique</v>
          </cell>
        </row>
        <row r="400">
          <cell r="A400">
            <v>30059</v>
          </cell>
          <cell r="B400" t="str">
            <v>Prise Informatique Simple RJ45 Cat.6</v>
          </cell>
          <cell r="C400" t="str">
            <v>OBS</v>
          </cell>
          <cell r="D400" t="str">
            <v>PCE</v>
          </cell>
          <cell r="E400">
            <v>61</v>
          </cell>
          <cell r="G400">
            <v>61</v>
          </cell>
          <cell r="H400">
            <v>2682.7613168724201</v>
          </cell>
          <cell r="I400">
            <v>163648.44032921764</v>
          </cell>
          <cell r="J400" t="str">
            <v>Non</v>
          </cell>
          <cell r="K400" t="str">
            <v>Générique</v>
          </cell>
        </row>
        <row r="401">
          <cell r="A401">
            <v>30061</v>
          </cell>
          <cell r="B401" t="str">
            <v>C3850-NM-4-1G= Cisco Catalyst 3850 4 x 1GE Network Module</v>
          </cell>
          <cell r="C401" t="str">
            <v>OBS</v>
          </cell>
          <cell r="D401" t="str">
            <v>PCE</v>
          </cell>
          <cell r="F401">
            <v>2</v>
          </cell>
          <cell r="G401">
            <v>2</v>
          </cell>
          <cell r="H401">
            <v>109357.87</v>
          </cell>
          <cell r="I401">
            <v>218715.74</v>
          </cell>
          <cell r="J401" t="str">
            <v>Oui</v>
          </cell>
          <cell r="K401" t="str">
            <v>Cisco</v>
          </cell>
        </row>
        <row r="402">
          <cell r="A402">
            <v>30072</v>
          </cell>
          <cell r="B402" t="str">
            <v>ISR4321/K9 Cisco ISR 4321 (2GE,2NIM,4G FLASH,4G DRAM,IPB)</v>
          </cell>
          <cell r="C402" t="str">
            <v>OBS</v>
          </cell>
          <cell r="D402" t="str">
            <v>PCE</v>
          </cell>
          <cell r="E402">
            <v>2</v>
          </cell>
          <cell r="F402">
            <v>11</v>
          </cell>
          <cell r="G402">
            <v>13</v>
          </cell>
          <cell r="H402">
            <v>614169.41029706004</v>
          </cell>
          <cell r="I402">
            <v>7984202.3338617804</v>
          </cell>
          <cell r="J402" t="str">
            <v>Oui</v>
          </cell>
          <cell r="K402" t="str">
            <v>Cisco</v>
          </cell>
        </row>
        <row r="403">
          <cell r="A403">
            <v>30079</v>
          </cell>
          <cell r="B403" t="str">
            <v>Câble HDMI de 10m</v>
          </cell>
          <cell r="C403" t="str">
            <v>OBS</v>
          </cell>
          <cell r="D403" t="str">
            <v>PCE</v>
          </cell>
          <cell r="F403">
            <v>9</v>
          </cell>
          <cell r="G403">
            <v>9</v>
          </cell>
          <cell r="H403">
            <v>10000</v>
          </cell>
          <cell r="I403">
            <v>90000</v>
          </cell>
          <cell r="J403" t="str">
            <v>Non</v>
          </cell>
          <cell r="K403" t="str">
            <v>Générique</v>
          </cell>
        </row>
        <row r="404">
          <cell r="A404">
            <v>30080</v>
          </cell>
          <cell r="B404" t="str">
            <v>Convertisseur VGA ¿ HDMI</v>
          </cell>
          <cell r="C404" t="str">
            <v>OBS</v>
          </cell>
          <cell r="D404" t="str">
            <v>PCE</v>
          </cell>
          <cell r="F404">
            <v>10</v>
          </cell>
          <cell r="G404">
            <v>10</v>
          </cell>
          <cell r="H404">
            <v>2500</v>
          </cell>
          <cell r="I404">
            <v>25000</v>
          </cell>
          <cell r="J404" t="str">
            <v>Non</v>
          </cell>
          <cell r="K404" t="str">
            <v>Générique</v>
          </cell>
        </row>
        <row r="405">
          <cell r="A405">
            <v>30081</v>
          </cell>
          <cell r="B405" t="str">
            <v>3MG27207FR    "8078s FR Premium Deskphone BT Moon Grey, 5"" 800x480 Capacitive Color display</v>
          </cell>
          <cell r="C405" t="str">
            <v>OBS</v>
          </cell>
          <cell r="D405" t="str">
            <v>PCE</v>
          </cell>
          <cell r="E405">
            <v>5</v>
          </cell>
          <cell r="G405">
            <v>5</v>
          </cell>
          <cell r="H405">
            <v>149000.632552336</v>
          </cell>
          <cell r="I405">
            <v>745003.16276167997</v>
          </cell>
          <cell r="J405" t="str">
            <v>Oui</v>
          </cell>
          <cell r="K405" t="str">
            <v>Alcatel-Lucent</v>
          </cell>
        </row>
        <row r="406">
          <cell r="A406">
            <v>30085</v>
          </cell>
          <cell r="B406" t="str">
            <v>FG-30E-BDL FortiGate-30E Hardware plus 1 year 8x5 Forticare and FortiGuard UTM B</v>
          </cell>
          <cell r="C406" t="str">
            <v>OBS</v>
          </cell>
          <cell r="D406" t="str">
            <v>PCE</v>
          </cell>
          <cell r="E406">
            <v>15</v>
          </cell>
          <cell r="G406">
            <v>15</v>
          </cell>
          <cell r="H406">
            <v>207050.66899999999</v>
          </cell>
          <cell r="I406">
            <v>3105760.0350000001</v>
          </cell>
          <cell r="J406" t="str">
            <v>Oui</v>
          </cell>
          <cell r="K406" t="str">
            <v>Fortinet</v>
          </cell>
        </row>
        <row r="407">
          <cell r="A407">
            <v>30089</v>
          </cell>
          <cell r="B407" t="str">
            <v>N205.617 LANmark-OF Duplex LC Snap-In Adaptor Multimode Aqua</v>
          </cell>
          <cell r="C407" t="str">
            <v>OBS</v>
          </cell>
          <cell r="D407" t="str">
            <v>PCE</v>
          </cell>
          <cell r="E407">
            <v>2</v>
          </cell>
          <cell r="G407">
            <v>2</v>
          </cell>
          <cell r="H407">
            <v>1900</v>
          </cell>
          <cell r="I407">
            <v>3800</v>
          </cell>
          <cell r="J407" t="str">
            <v>oui</v>
          </cell>
          <cell r="K407" t="str">
            <v>Nexans</v>
          </cell>
        </row>
        <row r="408">
          <cell r="A408">
            <v>30092</v>
          </cell>
          <cell r="B408" t="str">
            <v>N439.4SNB       LANmark-OF Patch Panel Snap-In Sliding Black</v>
          </cell>
          <cell r="C408" t="str">
            <v>OBS</v>
          </cell>
          <cell r="D408" t="str">
            <v>PCE</v>
          </cell>
          <cell r="E408">
            <v>7</v>
          </cell>
          <cell r="F408">
            <v>11</v>
          </cell>
          <cell r="G408">
            <v>18</v>
          </cell>
          <cell r="H408">
            <v>35812.214</v>
          </cell>
          <cell r="I408">
            <v>644619.85199999996</v>
          </cell>
          <cell r="J408" t="str">
            <v>Oui</v>
          </cell>
          <cell r="K408" t="str">
            <v>Nexans</v>
          </cell>
        </row>
        <row r="409">
          <cell r="A409">
            <v>30115</v>
          </cell>
          <cell r="B409" t="str">
            <v>3BA27056AC SDRAM 512MB CPU7-2              </v>
          </cell>
          <cell r="C409" t="str">
            <v>OBS</v>
          </cell>
          <cell r="D409" t="str">
            <v>PCE</v>
          </cell>
          <cell r="E409">
            <v>1</v>
          </cell>
          <cell r="G409">
            <v>1</v>
          </cell>
          <cell r="H409">
            <v>208594</v>
          </cell>
          <cell r="I409">
            <v>208594</v>
          </cell>
          <cell r="J409" t="str">
            <v>Oui</v>
          </cell>
          <cell r="K409" t="str">
            <v>Alcatel-Lucent</v>
          </cell>
        </row>
        <row r="410">
          <cell r="A410">
            <v>30170</v>
          </cell>
          <cell r="B410" t="str">
            <v>Combiné 8212 DECT - Comprend batterie, chargeur de bureau et alimentation Europe 3BN67335AA</v>
          </cell>
          <cell r="C410" t="str">
            <v>OBS</v>
          </cell>
          <cell r="D410" t="str">
            <v>PCE</v>
          </cell>
          <cell r="F410">
            <v>10</v>
          </cell>
          <cell r="G410">
            <v>10</v>
          </cell>
          <cell r="H410">
            <v>5048.2450719999997</v>
          </cell>
          <cell r="I410">
            <v>50482.450719999993</v>
          </cell>
          <cell r="J410" t="str">
            <v>Oui</v>
          </cell>
          <cell r="K410" t="str">
            <v>Alcatel-Lucent</v>
          </cell>
        </row>
        <row r="411">
          <cell r="A411">
            <v>30171</v>
          </cell>
          <cell r="B411" t="str">
            <v>Angle extérieur 100x45</v>
          </cell>
          <cell r="C411" t="str">
            <v>OBS</v>
          </cell>
          <cell r="D411" t="str">
            <v>PCE</v>
          </cell>
          <cell r="F411">
            <v>180</v>
          </cell>
          <cell r="G411">
            <v>180</v>
          </cell>
          <cell r="H411">
            <v>1466.6666666666599</v>
          </cell>
          <cell r="I411">
            <v>263999.99999999878</v>
          </cell>
          <cell r="J411" t="str">
            <v>Non</v>
          </cell>
          <cell r="K411" t="str">
            <v>Générique</v>
          </cell>
        </row>
        <row r="412">
          <cell r="A412">
            <v>30178</v>
          </cell>
          <cell r="B412" t="str">
            <v>Coffret informatique 9U x 600 x 400</v>
          </cell>
          <cell r="C412" t="str">
            <v>OBS</v>
          </cell>
          <cell r="D412" t="str">
            <v>PCE</v>
          </cell>
          <cell r="E412">
            <v>5</v>
          </cell>
          <cell r="F412">
            <v>1</v>
          </cell>
          <cell r="G412">
            <v>6</v>
          </cell>
          <cell r="H412">
            <v>65400</v>
          </cell>
          <cell r="I412">
            <v>392400</v>
          </cell>
          <cell r="J412" t="str">
            <v>Non</v>
          </cell>
          <cell r="K412" t="str">
            <v>Générique</v>
          </cell>
        </row>
        <row r="413">
          <cell r="A413">
            <v>30183</v>
          </cell>
          <cell r="B413" t="str">
            <v>Tiroir optique 24 ports SC</v>
          </cell>
          <cell r="C413" t="str">
            <v>OBS</v>
          </cell>
          <cell r="D413" t="str">
            <v>PCE</v>
          </cell>
          <cell r="E413">
            <v>12</v>
          </cell>
          <cell r="G413">
            <v>12</v>
          </cell>
          <cell r="H413">
            <v>49000</v>
          </cell>
          <cell r="I413">
            <v>588000</v>
          </cell>
          <cell r="J413" t="str">
            <v>Non</v>
          </cell>
          <cell r="K413" t="str">
            <v>Générique</v>
          </cell>
        </row>
        <row r="414">
          <cell r="A414">
            <v>30186</v>
          </cell>
          <cell r="B414" t="str">
            <v>PTO ONE 1FO avec raccord et pigtail SC/APC Réf : 90 908</v>
          </cell>
          <cell r="C414" t="str">
            <v>OBS</v>
          </cell>
          <cell r="D414" t="str">
            <v>PCE</v>
          </cell>
          <cell r="E414">
            <v>234</v>
          </cell>
          <cell r="G414">
            <v>234</v>
          </cell>
          <cell r="H414">
            <v>2600</v>
          </cell>
          <cell r="I414">
            <v>608400</v>
          </cell>
          <cell r="J414" t="str">
            <v>non</v>
          </cell>
          <cell r="K414" t="str">
            <v>Générique</v>
          </cell>
        </row>
        <row r="415">
          <cell r="A415">
            <v>30187</v>
          </cell>
          <cell r="B415" t="str">
            <v>Jarretière fibre optique LC/ST (3m) multimode 50/125 µm</v>
          </cell>
          <cell r="C415" t="str">
            <v>OBS</v>
          </cell>
          <cell r="D415" t="str">
            <v>PCE</v>
          </cell>
          <cell r="F415">
            <v>16</v>
          </cell>
          <cell r="G415">
            <v>16</v>
          </cell>
          <cell r="H415">
            <v>16500</v>
          </cell>
          <cell r="I415">
            <v>264000</v>
          </cell>
          <cell r="J415" t="str">
            <v>Oui</v>
          </cell>
          <cell r="K415" t="str">
            <v>Générique</v>
          </cell>
        </row>
        <row r="416">
          <cell r="A416">
            <v>30189</v>
          </cell>
          <cell r="B416" t="str">
            <v>Alcatel-Lucent OmniTouch 8128 WLAN Handset</v>
          </cell>
          <cell r="C416" t="str">
            <v>OBS</v>
          </cell>
          <cell r="D416" t="str">
            <v>PCE</v>
          </cell>
          <cell r="F416">
            <v>10</v>
          </cell>
          <cell r="G416">
            <v>10</v>
          </cell>
          <cell r="H416">
            <v>190332</v>
          </cell>
          <cell r="I416">
            <v>1903320</v>
          </cell>
          <cell r="J416" t="str">
            <v>Oui</v>
          </cell>
          <cell r="K416" t="str">
            <v>Alcatel-Lucent</v>
          </cell>
        </row>
        <row r="417">
          <cell r="A417">
            <v>30190</v>
          </cell>
          <cell r="B417" t="str">
            <v>Desktop charger Europe for Alcatel-Lucent OmniTouch 8118 and 8128</v>
          </cell>
          <cell r="C417" t="str">
            <v>OBS</v>
          </cell>
          <cell r="D417" t="str">
            <v>PCE</v>
          </cell>
          <cell r="F417">
            <v>10</v>
          </cell>
          <cell r="G417">
            <v>10</v>
          </cell>
          <cell r="H417">
            <v>23142</v>
          </cell>
          <cell r="I417">
            <v>231420</v>
          </cell>
          <cell r="J417" t="str">
            <v>Oui</v>
          </cell>
          <cell r="K417" t="str">
            <v>Alcatel-Lucent</v>
          </cell>
        </row>
        <row r="418">
          <cell r="A418">
            <v>30198</v>
          </cell>
          <cell r="B418" t="str">
            <v>3ML37020AA ALE-20H HYBRID DIGITAL IP DESKPHONE</v>
          </cell>
          <cell r="C418" t="str">
            <v>OBS</v>
          </cell>
          <cell r="D418" t="str">
            <v>PCE</v>
          </cell>
          <cell r="E418">
            <v>12</v>
          </cell>
          <cell r="F418">
            <v>72</v>
          </cell>
          <cell r="G418">
            <v>84</v>
          </cell>
          <cell r="H418">
            <v>45646.890058823497</v>
          </cell>
          <cell r="I418">
            <v>3834338.7649411736</v>
          </cell>
          <cell r="J418" t="str">
            <v>Oui</v>
          </cell>
          <cell r="K418" t="str">
            <v>Alcatel-Lucent</v>
          </cell>
        </row>
        <row r="419">
          <cell r="A419">
            <v>30245</v>
          </cell>
          <cell r="B419" t="str">
            <v>armoire 42U 800x800</v>
          </cell>
          <cell r="C419" t="str">
            <v>OBS</v>
          </cell>
          <cell r="D419" t="str">
            <v>PCE</v>
          </cell>
          <cell r="F419">
            <v>4</v>
          </cell>
          <cell r="G419">
            <v>4</v>
          </cell>
          <cell r="H419">
            <v>514761.150819576</v>
          </cell>
          <cell r="I419">
            <v>2059044.603278304</v>
          </cell>
          <cell r="J419" t="str">
            <v>Non</v>
          </cell>
          <cell r="K419" t="str">
            <v>Générique</v>
          </cell>
        </row>
        <row r="420">
          <cell r="A420">
            <v>30248</v>
          </cell>
          <cell r="B420" t="str">
            <v>N11A.U1F050OK LANmark-6A Ultim Patch Cord Cat 6A Screened LSZH 5m Orange</v>
          </cell>
          <cell r="C420" t="str">
            <v>OBS</v>
          </cell>
          <cell r="D420" t="str">
            <v>PCE</v>
          </cell>
          <cell r="E420">
            <v>36</v>
          </cell>
          <cell r="F420">
            <v>1387</v>
          </cell>
          <cell r="G420">
            <v>1423</v>
          </cell>
          <cell r="H420">
            <v>7058.7276036831299</v>
          </cell>
          <cell r="I420">
            <v>10044569.380041094</v>
          </cell>
          <cell r="J420" t="str">
            <v>Oui</v>
          </cell>
          <cell r="K420" t="str">
            <v>Nexans</v>
          </cell>
        </row>
        <row r="421">
          <cell r="A421">
            <v>30250</v>
          </cell>
          <cell r="B421" t="str">
            <v>N521.664BK LANmark Patch Panel 24 Snap-In Black</v>
          </cell>
          <cell r="C421" t="str">
            <v>OBS</v>
          </cell>
          <cell r="D421" t="str">
            <v>PCE</v>
          </cell>
          <cell r="E421">
            <v>30</v>
          </cell>
          <cell r="G421">
            <v>30</v>
          </cell>
          <cell r="H421">
            <v>19000</v>
          </cell>
          <cell r="I421">
            <v>570000</v>
          </cell>
          <cell r="J421" t="str">
            <v>non</v>
          </cell>
          <cell r="K421" t="str">
            <v>nexans</v>
          </cell>
        </row>
        <row r="422">
          <cell r="A422">
            <v>30264</v>
          </cell>
          <cell r="B422" t="str">
            <v>C886VA-K9 Cisco 880 Series Integrated Services Routers</v>
          </cell>
          <cell r="C422" t="str">
            <v>OBS</v>
          </cell>
          <cell r="D422" t="str">
            <v>PCE</v>
          </cell>
          <cell r="F422">
            <v>9</v>
          </cell>
          <cell r="G422">
            <v>9</v>
          </cell>
          <cell r="H422">
            <v>155011</v>
          </cell>
          <cell r="I422">
            <v>1395099</v>
          </cell>
          <cell r="J422" t="str">
            <v>Oui</v>
          </cell>
          <cell r="K422" t="str">
            <v>Cisco</v>
          </cell>
        </row>
        <row r="423">
          <cell r="A423">
            <v>30277</v>
          </cell>
          <cell r="B423" t="str">
            <v>3BN07004AA 8212 DECT HANDSET WITH CHARGER + PSU EU</v>
          </cell>
          <cell r="C423" t="str">
            <v>OBS</v>
          </cell>
          <cell r="D423" t="str">
            <v>PCE</v>
          </cell>
          <cell r="E423">
            <v>3</v>
          </cell>
          <cell r="G423">
            <v>3</v>
          </cell>
          <cell r="H423">
            <v>36667.996299999999</v>
          </cell>
          <cell r="I423">
            <v>110003.9889</v>
          </cell>
          <cell r="J423" t="str">
            <v>Oui</v>
          </cell>
          <cell r="K423" t="str">
            <v>Alcatel-Lucent</v>
          </cell>
        </row>
        <row r="424">
          <cell r="A424">
            <v>30286</v>
          </cell>
          <cell r="B424" t="str">
            <v>3BA00834AV MR1 SERVER CS-3 PACK (48V)  </v>
          </cell>
          <cell r="C424" t="str">
            <v>OBS</v>
          </cell>
          <cell r="D424" t="str">
            <v>PCE</v>
          </cell>
          <cell r="F424">
            <v>5</v>
          </cell>
          <cell r="G424">
            <v>5</v>
          </cell>
          <cell r="H424">
            <v>153179.07863999999</v>
          </cell>
          <cell r="I424">
            <v>765895.39319999993</v>
          </cell>
          <cell r="J424" t="str">
            <v>oui</v>
          </cell>
          <cell r="K424" t="str">
            <v>Alcatel-Lucent</v>
          </cell>
        </row>
        <row r="425">
          <cell r="A425">
            <v>30292</v>
          </cell>
          <cell r="B425" t="str">
            <v>C1111-4P is the ISR 1100 4 Ports Dual GE WAN Ethernet Router, delivering 1 WAN port and 4GE LAN ports</v>
          </cell>
          <cell r="C425" t="str">
            <v>OBS</v>
          </cell>
          <cell r="D425" t="str">
            <v>PCE</v>
          </cell>
          <cell r="E425">
            <v>2</v>
          </cell>
          <cell r="F425">
            <v>3</v>
          </cell>
          <cell r="G425">
            <v>5</v>
          </cell>
          <cell r="H425">
            <v>250256</v>
          </cell>
          <cell r="I425">
            <v>1251280</v>
          </cell>
          <cell r="J425" t="str">
            <v>Oui</v>
          </cell>
          <cell r="K425" t="str">
            <v>Cisco</v>
          </cell>
        </row>
        <row r="426">
          <cell r="A426">
            <v>30294</v>
          </cell>
          <cell r="B426" t="str">
            <v>3BN78403AA CHARGEUR DE BUREAU OT 8118 &amp; 8128 EUROPE</v>
          </cell>
          <cell r="C426" t="str">
            <v>OBS</v>
          </cell>
          <cell r="D426" t="str">
            <v>PCE</v>
          </cell>
          <cell r="F426">
            <v>18</v>
          </cell>
          <cell r="G426">
            <v>18</v>
          </cell>
          <cell r="H426">
            <v>23142.162960000001</v>
          </cell>
          <cell r="I426">
            <v>416558.93328</v>
          </cell>
          <cell r="J426" t="str">
            <v>Oui</v>
          </cell>
          <cell r="K426" t="str">
            <v>Alcatel-Lucent</v>
          </cell>
        </row>
        <row r="427">
          <cell r="A427">
            <v>30299</v>
          </cell>
          <cell r="B427" t="str">
            <v>Plastron pour prise double</v>
          </cell>
          <cell r="C427" t="str">
            <v>OBS</v>
          </cell>
          <cell r="D427" t="str">
            <v>PCE</v>
          </cell>
          <cell r="E427">
            <v>5</v>
          </cell>
          <cell r="G427">
            <v>5</v>
          </cell>
          <cell r="H427">
            <v>950</v>
          </cell>
          <cell r="I427">
            <v>4750</v>
          </cell>
          <cell r="J427" t="str">
            <v>Non</v>
          </cell>
          <cell r="K427" t="str">
            <v>Générique</v>
          </cell>
        </row>
        <row r="428">
          <cell r="A428">
            <v>30312</v>
          </cell>
          <cell r="B428" t="str">
            <v>Tube orange rigide diamétre 9 (en m)</v>
          </cell>
          <cell r="C428" t="str">
            <v>OBS</v>
          </cell>
          <cell r="D428" t="str">
            <v>PCE</v>
          </cell>
          <cell r="F428">
            <v>130</v>
          </cell>
          <cell r="G428">
            <v>130</v>
          </cell>
          <cell r="H428">
            <v>101</v>
          </cell>
          <cell r="I428">
            <v>13130</v>
          </cell>
          <cell r="J428" t="str">
            <v>Non</v>
          </cell>
          <cell r="K428" t="str">
            <v>Générique</v>
          </cell>
        </row>
        <row r="429">
          <cell r="A429">
            <v>30314</v>
          </cell>
          <cell r="B429" t="str">
            <v>N122.5CLA25 LANmark-OF Slimflex Patch Cord DSC-DLC OM3 LSZH 25m Aqua       </v>
          </cell>
          <cell r="C429" t="str">
            <v>OBS</v>
          </cell>
          <cell r="D429" t="str">
            <v>PCE</v>
          </cell>
          <cell r="F429">
            <v>6</v>
          </cell>
          <cell r="G429">
            <v>6</v>
          </cell>
          <cell r="H429">
            <v>22860</v>
          </cell>
          <cell r="I429">
            <v>137160</v>
          </cell>
          <cell r="J429" t="str">
            <v>Oui</v>
          </cell>
          <cell r="K429" t="str">
            <v>Nexans</v>
          </cell>
        </row>
        <row r="430">
          <cell r="A430">
            <v>30317</v>
          </cell>
          <cell r="B430" t="str">
            <v>88828-02 ENCOREPRO HW540 E&amp;A     </v>
          </cell>
          <cell r="C430" t="str">
            <v>OBS</v>
          </cell>
          <cell r="D430" t="str">
            <v>U</v>
          </cell>
          <cell r="E430">
            <v>10</v>
          </cell>
          <cell r="F430">
            <v>90</v>
          </cell>
          <cell r="G430">
            <v>100</v>
          </cell>
          <cell r="H430">
            <v>30436.952002516598</v>
          </cell>
          <cell r="I430">
            <v>3043695.2002516598</v>
          </cell>
          <cell r="J430" t="str">
            <v>Oui</v>
          </cell>
          <cell r="K430" t="str">
            <v>Générique</v>
          </cell>
        </row>
        <row r="431">
          <cell r="A431">
            <v>30357</v>
          </cell>
          <cell r="B431" t="str">
            <v>C9200-NM-4X= Catalyst 9200 4 x 10G Network Module</v>
          </cell>
          <cell r="C431" t="str">
            <v>OBS</v>
          </cell>
          <cell r="D431" t="str">
            <v>PCE</v>
          </cell>
          <cell r="F431">
            <v>5</v>
          </cell>
          <cell r="G431">
            <v>5</v>
          </cell>
          <cell r="H431">
            <v>581600.03202330996</v>
          </cell>
          <cell r="I431">
            <v>2908000.1601165496</v>
          </cell>
          <cell r="J431" t="str">
            <v>Oui</v>
          </cell>
          <cell r="K431" t="str">
            <v>Cisco</v>
          </cell>
        </row>
        <row r="432">
          <cell r="A432">
            <v>30359</v>
          </cell>
          <cell r="B432" t="str">
            <v>Prise complète saillie FTP Cat6</v>
          </cell>
          <cell r="C432" t="str">
            <v>OBS</v>
          </cell>
          <cell r="D432" t="str">
            <v>PCE</v>
          </cell>
          <cell r="F432">
            <v>100</v>
          </cell>
          <cell r="G432">
            <v>100</v>
          </cell>
          <cell r="H432">
            <v>3500</v>
          </cell>
          <cell r="I432">
            <v>350000</v>
          </cell>
          <cell r="J432" t="str">
            <v>Non</v>
          </cell>
          <cell r="K432" t="str">
            <v>Générique</v>
          </cell>
        </row>
        <row r="433">
          <cell r="A433">
            <v>30365</v>
          </cell>
          <cell r="B433" t="str">
            <v>3MG27206FR 8068S BT PREMIUM DESKPHONE FR                    </v>
          </cell>
          <cell r="C433" t="str">
            <v>OBS</v>
          </cell>
          <cell r="D433" t="str">
            <v>PCE</v>
          </cell>
          <cell r="E433">
            <v>2</v>
          </cell>
          <cell r="F433">
            <v>76</v>
          </cell>
          <cell r="G433">
            <v>78</v>
          </cell>
          <cell r="H433">
            <v>138776.00738896799</v>
          </cell>
          <cell r="I433">
            <v>10824528.576339504</v>
          </cell>
          <cell r="J433" t="str">
            <v>Oui</v>
          </cell>
          <cell r="K433" t="str">
            <v>Alcatel-Lucent</v>
          </cell>
        </row>
        <row r="434">
          <cell r="A434">
            <v>30493</v>
          </cell>
          <cell r="B434" t="str">
            <v>angle int 100x45</v>
          </cell>
          <cell r="C434" t="str">
            <v>OBS</v>
          </cell>
          <cell r="D434" t="str">
            <v>PCE</v>
          </cell>
          <cell r="F434">
            <v>67</v>
          </cell>
          <cell r="G434">
            <v>67</v>
          </cell>
          <cell r="H434">
            <v>1387.5</v>
          </cell>
          <cell r="I434">
            <v>92962.5</v>
          </cell>
          <cell r="J434" t="str">
            <v>Non</v>
          </cell>
          <cell r="K434" t="str">
            <v>Générique</v>
          </cell>
        </row>
        <row r="435">
          <cell r="A435">
            <v>30497</v>
          </cell>
          <cell r="B435" t="str">
            <v>Cloison de séparation(m)</v>
          </cell>
          <cell r="C435" t="str">
            <v>OBS</v>
          </cell>
          <cell r="D435" t="str">
            <v>PCE</v>
          </cell>
          <cell r="F435">
            <v>300</v>
          </cell>
          <cell r="G435">
            <v>300</v>
          </cell>
          <cell r="H435">
            <v>773</v>
          </cell>
          <cell r="I435">
            <v>231900</v>
          </cell>
          <cell r="J435" t="str">
            <v>Non</v>
          </cell>
          <cell r="K435" t="str">
            <v>Générique</v>
          </cell>
        </row>
        <row r="436">
          <cell r="A436">
            <v>30503</v>
          </cell>
          <cell r="B436" t="str">
            <v>embout 100x45</v>
          </cell>
          <cell r="C436" t="str">
            <v>OBS</v>
          </cell>
          <cell r="D436" t="str">
            <v>PCE</v>
          </cell>
          <cell r="E436">
            <v>20</v>
          </cell>
          <cell r="F436">
            <v>60</v>
          </cell>
          <cell r="G436">
            <v>80</v>
          </cell>
          <cell r="H436">
            <v>1012.5</v>
          </cell>
          <cell r="I436">
            <v>81000</v>
          </cell>
          <cell r="J436" t="str">
            <v>Non</v>
          </cell>
          <cell r="K436" t="str">
            <v>Générique</v>
          </cell>
        </row>
        <row r="437">
          <cell r="A437">
            <v>30504</v>
          </cell>
          <cell r="B437" t="str">
            <v>goulotte ingelec 100x45( m)</v>
          </cell>
          <cell r="C437" t="str">
            <v>OBS</v>
          </cell>
          <cell r="D437" t="str">
            <v>PCE</v>
          </cell>
          <cell r="E437">
            <v>5</v>
          </cell>
          <cell r="F437">
            <v>239</v>
          </cell>
          <cell r="G437">
            <v>244</v>
          </cell>
          <cell r="H437">
            <v>2320</v>
          </cell>
          <cell r="I437">
            <v>566080</v>
          </cell>
          <cell r="J437" t="str">
            <v>Non</v>
          </cell>
          <cell r="K437" t="str">
            <v>Générique</v>
          </cell>
        </row>
        <row r="438">
          <cell r="A438">
            <v>30515</v>
          </cell>
          <cell r="B438" t="str">
            <v>NIM-1MFT-T1/E1 1 port Multiflex Trunk Voice/Clear-channel Data T1/E1 Module</v>
          </cell>
          <cell r="C438" t="str">
            <v>OBS</v>
          </cell>
          <cell r="D438" t="str">
            <v>PCE</v>
          </cell>
          <cell r="E438">
            <v>1</v>
          </cell>
          <cell r="F438">
            <v>1</v>
          </cell>
          <cell r="G438">
            <v>2</v>
          </cell>
          <cell r="H438">
            <v>351011</v>
          </cell>
          <cell r="I438">
            <v>702022</v>
          </cell>
          <cell r="J438" t="str">
            <v>Oui</v>
          </cell>
          <cell r="K438" t="str">
            <v>Cisco</v>
          </cell>
        </row>
        <row r="439">
          <cell r="A439">
            <v>30517</v>
          </cell>
          <cell r="B439" t="str">
            <v>CP-3905-PWR-CE=Power Adapter for Cisco Unified SIP Phone 3905, Europe</v>
          </cell>
          <cell r="C439" t="str">
            <v>OBS</v>
          </cell>
          <cell r="D439" t="str">
            <v>PCE</v>
          </cell>
          <cell r="F439">
            <v>5</v>
          </cell>
          <cell r="G439">
            <v>5</v>
          </cell>
          <cell r="H439">
            <v>9602.5400000000009</v>
          </cell>
          <cell r="I439">
            <v>48012.700000000004</v>
          </cell>
          <cell r="J439" t="str">
            <v>Oui</v>
          </cell>
          <cell r="K439" t="str">
            <v>Cisco</v>
          </cell>
        </row>
        <row r="440">
          <cell r="A440">
            <v>30609</v>
          </cell>
          <cell r="B440" t="str">
            <v>Cordon jack Easy Disconnect prise appel auto Alcatel 40xxx series / IP TOUCH Réf: SEN-502334 CALC01:</v>
          </cell>
          <cell r="C440" t="str">
            <v>OBS</v>
          </cell>
          <cell r="D440" t="str">
            <v>PCE</v>
          </cell>
          <cell r="E440">
            <v>8</v>
          </cell>
          <cell r="G440">
            <v>8</v>
          </cell>
          <cell r="H440">
            <v>11132</v>
          </cell>
          <cell r="I440">
            <v>89056</v>
          </cell>
          <cell r="J440" t="str">
            <v>Non</v>
          </cell>
          <cell r="K440" t="str">
            <v>Générique</v>
          </cell>
        </row>
        <row r="441">
          <cell r="A441">
            <v>30610</v>
          </cell>
          <cell r="B441" t="str">
            <v>Micro casque filaire SC 260, double écouteur XXL, Réf : SEN-504402</v>
          </cell>
          <cell r="C441" t="str">
            <v>OBS</v>
          </cell>
          <cell r="D441" t="str">
            <v>PCE</v>
          </cell>
          <cell r="E441">
            <v>7</v>
          </cell>
          <cell r="G441">
            <v>7</v>
          </cell>
          <cell r="H441">
            <v>31125</v>
          </cell>
          <cell r="I441">
            <v>217875</v>
          </cell>
          <cell r="J441" t="str">
            <v>Oui</v>
          </cell>
          <cell r="K441" t="str">
            <v>Générique</v>
          </cell>
        </row>
        <row r="442">
          <cell r="A442">
            <v>30611</v>
          </cell>
          <cell r="B442" t="str">
            <v>FG-61F-BDL-950-DD Hardware plus 24x7 FortiCare and FortiGuard Unified Threat Protection (UTP)</v>
          </cell>
          <cell r="C442" t="str">
            <v>OBS</v>
          </cell>
          <cell r="D442" t="str">
            <v>PCE</v>
          </cell>
          <cell r="E442">
            <v>1</v>
          </cell>
          <cell r="G442">
            <v>1</v>
          </cell>
          <cell r="H442">
            <v>625578.09957715205</v>
          </cell>
          <cell r="I442">
            <v>625578.09957715205</v>
          </cell>
          <cell r="J442" t="str">
            <v>Oui</v>
          </cell>
          <cell r="K442" t="str">
            <v>Fortinet</v>
          </cell>
        </row>
        <row r="443">
          <cell r="A443">
            <v>30816</v>
          </cell>
          <cell r="B443" t="str">
            <v>N122.5CCA2    LANmark-OF Slimflex Patch Cord DSC-DSC OM3 LSZH 2m</v>
          </cell>
          <cell r="C443" t="str">
            <v>OBS</v>
          </cell>
          <cell r="D443" t="str">
            <v>PCE</v>
          </cell>
          <cell r="E443">
            <v>2</v>
          </cell>
          <cell r="F443">
            <v>3</v>
          </cell>
          <cell r="G443">
            <v>5</v>
          </cell>
          <cell r="H443">
            <v>6248</v>
          </cell>
          <cell r="I443">
            <v>31240</v>
          </cell>
          <cell r="J443" t="str">
            <v>Oui</v>
          </cell>
          <cell r="K443" t="str">
            <v>Nexans</v>
          </cell>
        </row>
        <row r="444">
          <cell r="A444">
            <v>30819</v>
          </cell>
          <cell r="B444" t="str">
            <v>Poste Temporis 380 noir Réf : ATL1407518</v>
          </cell>
          <cell r="C444" t="str">
            <v>OBS</v>
          </cell>
          <cell r="D444" t="str">
            <v>PCE</v>
          </cell>
          <cell r="E444">
            <v>1</v>
          </cell>
          <cell r="G444">
            <v>1</v>
          </cell>
          <cell r="H444">
            <v>9644</v>
          </cell>
          <cell r="I444">
            <v>9644</v>
          </cell>
          <cell r="J444" t="str">
            <v>Oui</v>
          </cell>
          <cell r="K444" t="str">
            <v>Générique</v>
          </cell>
        </row>
        <row r="445">
          <cell r="A445">
            <v>30834</v>
          </cell>
          <cell r="B445" t="str">
            <v>3EH01139AB OXO CONNECT C25 PACK 4T/8D/4A R2 (x10)               </v>
          </cell>
          <cell r="C445" t="str">
            <v>OBS</v>
          </cell>
          <cell r="D445" t="str">
            <v>PCE</v>
          </cell>
          <cell r="F445">
            <v>1</v>
          </cell>
          <cell r="G445">
            <v>1</v>
          </cell>
          <cell r="H445">
            <v>249264</v>
          </cell>
          <cell r="I445">
            <v>249264</v>
          </cell>
          <cell r="J445" t="str">
            <v>Oui</v>
          </cell>
          <cell r="K445" t="str">
            <v>Alcatel-Lucent</v>
          </cell>
        </row>
        <row r="446">
          <cell r="A446">
            <v>30835</v>
          </cell>
          <cell r="B446" t="str">
            <v>3EH01139AC OXO CONNECT C25 PACK 4T/4D/8A R2 (x10)              </v>
          </cell>
          <cell r="C446" t="str">
            <v>OBS</v>
          </cell>
          <cell r="D446" t="str">
            <v>PCE</v>
          </cell>
          <cell r="F446">
            <v>7</v>
          </cell>
          <cell r="G446">
            <v>7</v>
          </cell>
          <cell r="H446">
            <v>249264</v>
          </cell>
          <cell r="I446">
            <v>1744848</v>
          </cell>
          <cell r="J446" t="str">
            <v>Oui</v>
          </cell>
          <cell r="K446" t="str">
            <v>Alcatel-Lucent</v>
          </cell>
        </row>
        <row r="447">
          <cell r="A447">
            <v>30836</v>
          </cell>
          <cell r="B447" t="str">
            <v>3EH01140AB OXO CONNECT C25 PACK 4AT/8D/4A R2 (x10) </v>
          </cell>
          <cell r="C447" t="str">
            <v>OBS</v>
          </cell>
          <cell r="D447" t="str">
            <v>PCE</v>
          </cell>
          <cell r="E447">
            <v>1</v>
          </cell>
          <cell r="G447">
            <v>1</v>
          </cell>
          <cell r="H447">
            <v>2492637</v>
          </cell>
          <cell r="I447">
            <v>2492637</v>
          </cell>
          <cell r="J447" t="str">
            <v>Oui</v>
          </cell>
          <cell r="K447" t="str">
            <v>Alcatel-Lucent</v>
          </cell>
        </row>
        <row r="448">
          <cell r="A448">
            <v>30837</v>
          </cell>
          <cell r="B448" t="str">
            <v>3EH01140AC OXO CONNECT C25 PACK 4AT/4D/8A R2 (x10)            </v>
          </cell>
          <cell r="C448" t="str">
            <v>OBS</v>
          </cell>
          <cell r="D448" t="str">
            <v>PCE</v>
          </cell>
          <cell r="E448">
            <v>3</v>
          </cell>
          <cell r="F448">
            <v>7</v>
          </cell>
          <cell r="G448">
            <v>10</v>
          </cell>
          <cell r="H448">
            <v>249264</v>
          </cell>
          <cell r="I448">
            <v>2492640</v>
          </cell>
          <cell r="J448" t="str">
            <v>Oui</v>
          </cell>
          <cell r="K448" t="str">
            <v>Alcatel-Lucent</v>
          </cell>
        </row>
        <row r="449">
          <cell r="A449">
            <v>30874</v>
          </cell>
          <cell r="B449" t="str">
            <v>3EH73013AB CARTE FILLE SLANX4</v>
          </cell>
          <cell r="C449" t="str">
            <v>OBS</v>
          </cell>
          <cell r="D449" t="str">
            <v>PCE</v>
          </cell>
          <cell r="F449">
            <v>2</v>
          </cell>
          <cell r="G449">
            <v>2</v>
          </cell>
          <cell r="H449">
            <v>37537</v>
          </cell>
          <cell r="I449">
            <v>75074</v>
          </cell>
          <cell r="J449" t="str">
            <v>Oui</v>
          </cell>
          <cell r="K449" t="str">
            <v>Alcatel-Lucent</v>
          </cell>
        </row>
        <row r="450">
          <cell r="A450">
            <v>30876</v>
          </cell>
          <cell r="B450" t="str">
            <v>3BA28041FB IP ATTENDANT 4059EE PACK FRENCH</v>
          </cell>
          <cell r="C450" t="str">
            <v>OBS</v>
          </cell>
          <cell r="D450" t="str">
            <v>PCE</v>
          </cell>
          <cell r="E450">
            <v>2</v>
          </cell>
          <cell r="G450">
            <v>2</v>
          </cell>
          <cell r="H450">
            <v>753301</v>
          </cell>
          <cell r="I450">
            <v>1506602</v>
          </cell>
          <cell r="J450" t="str">
            <v>Oui</v>
          </cell>
          <cell r="K450" t="str">
            <v>Alcatel-Lucent</v>
          </cell>
        </row>
        <row r="451">
          <cell r="A451">
            <v>30939</v>
          </cell>
          <cell r="B451" t="str">
            <v>3AK21492AA CABLE RJ45/RJ45-3M (DROIT)        </v>
          </cell>
          <cell r="C451" t="str">
            <v>OBS</v>
          </cell>
          <cell r="D451" t="str">
            <v>PCE</v>
          </cell>
          <cell r="E451">
            <v>33</v>
          </cell>
          <cell r="F451">
            <v>562</v>
          </cell>
          <cell r="G451">
            <v>595</v>
          </cell>
          <cell r="H451">
            <v>6805.4253114767098</v>
          </cell>
          <cell r="I451">
            <v>4049228.0603286424</v>
          </cell>
          <cell r="J451" t="str">
            <v>Oui</v>
          </cell>
          <cell r="K451" t="str">
            <v>Alcatel-Lucent</v>
          </cell>
        </row>
        <row r="452">
          <cell r="A452">
            <v>30945</v>
          </cell>
          <cell r="B452" t="str">
            <v>Poste Alcatel T76CE Black Réf: ATL1413755</v>
          </cell>
          <cell r="C452" t="str">
            <v>OBS</v>
          </cell>
          <cell r="D452" t="str">
            <v>PCE</v>
          </cell>
          <cell r="F452">
            <v>8</v>
          </cell>
          <cell r="G452">
            <v>8</v>
          </cell>
          <cell r="H452">
            <v>7758</v>
          </cell>
          <cell r="I452">
            <v>62064</v>
          </cell>
          <cell r="J452" t="str">
            <v>Oui</v>
          </cell>
          <cell r="K452" t="str">
            <v>Alcatel-Lucent</v>
          </cell>
        </row>
        <row r="453">
          <cell r="A453">
            <v>30946</v>
          </cell>
          <cell r="B453" t="str">
            <v>Poste Gigaset S650H PRO Noir, Bluetooth, prise jack 2.5, main libre, usb</v>
          </cell>
          <cell r="C453" t="str">
            <v>OBS</v>
          </cell>
          <cell r="D453" t="str">
            <v>PCE</v>
          </cell>
          <cell r="F453">
            <v>117</v>
          </cell>
          <cell r="G453">
            <v>117</v>
          </cell>
          <cell r="H453">
            <v>34188</v>
          </cell>
          <cell r="I453">
            <v>3999996</v>
          </cell>
          <cell r="J453" t="str">
            <v>Oui</v>
          </cell>
          <cell r="K453" t="str">
            <v>Générique</v>
          </cell>
        </row>
        <row r="454">
          <cell r="A454">
            <v>30972</v>
          </cell>
          <cell r="B454" t="str">
            <v>Point Accès UBIQUITI UniFi AC PRO Réf : UAP-AC-PRO-E</v>
          </cell>
          <cell r="C454" t="str">
            <v>OBS</v>
          </cell>
          <cell r="D454" t="str">
            <v>PCE</v>
          </cell>
          <cell r="E454">
            <v>33</v>
          </cell>
          <cell r="G454">
            <v>33</v>
          </cell>
          <cell r="H454">
            <v>98500</v>
          </cell>
          <cell r="I454">
            <v>3250500</v>
          </cell>
          <cell r="J454" t="str">
            <v>non</v>
          </cell>
          <cell r="K454" t="str">
            <v>Générique</v>
          </cell>
        </row>
        <row r="455">
          <cell r="A455">
            <v>30977</v>
          </cell>
          <cell r="B455" t="str">
            <v>CABLE EXT DOUBLE GAINE G657A2  1F0 NOIR</v>
          </cell>
          <cell r="C455" t="str">
            <v>OBS</v>
          </cell>
          <cell r="D455" t="str">
            <v>PCE</v>
          </cell>
          <cell r="E455">
            <v>10036</v>
          </cell>
          <cell r="G455">
            <v>10036</v>
          </cell>
          <cell r="H455">
            <v>191.95414925927801</v>
          </cell>
          <cell r="I455">
            <v>1926451.8419661142</v>
          </cell>
          <cell r="J455" t="str">
            <v>Non</v>
          </cell>
          <cell r="K455" t="str">
            <v>Générique</v>
          </cell>
        </row>
        <row r="456">
          <cell r="A456">
            <v>30990</v>
          </cell>
          <cell r="B456" t="str">
            <v>ISR4221/K9 Cisco ISR 4221 (2GE,2NIM,4G FLASH,4G DRAM,IPB)</v>
          </cell>
          <cell r="C456" t="str">
            <v>OBS</v>
          </cell>
          <cell r="D456" t="str">
            <v>PCE</v>
          </cell>
          <cell r="E456">
            <v>3</v>
          </cell>
          <cell r="F456">
            <v>25</v>
          </cell>
          <cell r="G456">
            <v>28</v>
          </cell>
          <cell r="H456">
            <v>397898.95056335197</v>
          </cell>
          <cell r="I456">
            <v>11141170.615773855</v>
          </cell>
          <cell r="J456" t="str">
            <v>Oui</v>
          </cell>
          <cell r="K456" t="str">
            <v>Cisco</v>
          </cell>
        </row>
        <row r="457">
          <cell r="A457">
            <v>31011</v>
          </cell>
          <cell r="B457" t="str">
            <v>OS6350-24-EU VALUE 24P 10/100/1000 - EU CORD</v>
          </cell>
          <cell r="C457" t="str">
            <v>OBS</v>
          </cell>
          <cell r="D457" t="str">
            <v>PCE</v>
          </cell>
          <cell r="F457">
            <v>8</v>
          </cell>
          <cell r="G457">
            <v>8</v>
          </cell>
          <cell r="H457">
            <v>171468.90380913901</v>
          </cell>
          <cell r="I457">
            <v>1371751.2304731121</v>
          </cell>
          <cell r="J457" t="str">
            <v>Oui</v>
          </cell>
          <cell r="K457" t="str">
            <v>Alcatel-Lucent</v>
          </cell>
        </row>
        <row r="458">
          <cell r="A458">
            <v>31012</v>
          </cell>
          <cell r="B458" t="str">
            <v>OS2220-24-EU WebSmart 24p - EU cord</v>
          </cell>
          <cell r="C458" t="str">
            <v>OBS</v>
          </cell>
          <cell r="D458" t="str">
            <v>PCE</v>
          </cell>
          <cell r="F458">
            <v>3</v>
          </cell>
          <cell r="G458">
            <v>3</v>
          </cell>
          <cell r="H458">
            <v>195705</v>
          </cell>
          <cell r="I458">
            <v>587115</v>
          </cell>
          <cell r="J458" t="str">
            <v>Oui</v>
          </cell>
          <cell r="K458" t="str">
            <v>Alcatel-Lucent</v>
          </cell>
        </row>
        <row r="459">
          <cell r="A459">
            <v>31054</v>
          </cell>
          <cell r="B459" t="str">
            <v>3MG08005AA 8001 POWER SUPPLY 5V EUROPE</v>
          </cell>
          <cell r="C459" t="str">
            <v>OBS</v>
          </cell>
          <cell r="D459" t="str">
            <v>PCE</v>
          </cell>
          <cell r="E459">
            <v>4</v>
          </cell>
          <cell r="G459">
            <v>4</v>
          </cell>
          <cell r="H459">
            <v>4250.6013599999997</v>
          </cell>
          <cell r="I459">
            <v>17002.405439999999</v>
          </cell>
          <cell r="J459" t="str">
            <v>Oui</v>
          </cell>
          <cell r="K459" t="str">
            <v>Alcatel-Lucent</v>
          </cell>
        </row>
        <row r="460">
          <cell r="A460">
            <v>31056</v>
          </cell>
          <cell r="B460" t="str">
            <v>Filin de tirage nylon monoline  diamètre 3 (couronne de 500 m)</v>
          </cell>
          <cell r="C460" t="str">
            <v>OBS</v>
          </cell>
          <cell r="D460" t="str">
            <v>PCE</v>
          </cell>
          <cell r="F460">
            <v>1</v>
          </cell>
          <cell r="G460">
            <v>1</v>
          </cell>
          <cell r="H460">
            <v>200000</v>
          </cell>
          <cell r="I460">
            <v>200000</v>
          </cell>
          <cell r="J460" t="str">
            <v>Non</v>
          </cell>
          <cell r="K460" t="str">
            <v>Générique</v>
          </cell>
        </row>
        <row r="461">
          <cell r="A461">
            <v>31153</v>
          </cell>
          <cell r="B461" t="str">
            <v>AP-MNT-OUT SPARE, OAW-AP125X OUTDOOR MOUNT KIT</v>
          </cell>
          <cell r="C461" t="str">
            <v>OBS</v>
          </cell>
          <cell r="D461" t="str">
            <v>PCE</v>
          </cell>
          <cell r="F461">
            <v>5</v>
          </cell>
          <cell r="G461">
            <v>5</v>
          </cell>
          <cell r="H461">
            <v>40145</v>
          </cell>
          <cell r="I461">
            <v>200725</v>
          </cell>
          <cell r="J461" t="str">
            <v>Oui</v>
          </cell>
          <cell r="K461" t="str">
            <v>Alcatel-Lucent</v>
          </cell>
        </row>
        <row r="462">
          <cell r="A462">
            <v>31168</v>
          </cell>
          <cell r="B462" t="str">
            <v>SP-W2M-AC1200-POE-WW - Point d'accès d'Entreprise intérieur IgniteNet Spark¿ Wave2 Mini AC1200 - 802.11ac 1200 Mbps - double-bande 2,4 (25 dBm) et 5Ghz (23 dBm) - PoE 802.3af</v>
          </cell>
          <cell r="C462" t="str">
            <v>OBS</v>
          </cell>
          <cell r="D462" t="str">
            <v>PCE</v>
          </cell>
          <cell r="E462">
            <v>2</v>
          </cell>
          <cell r="F462">
            <v>7</v>
          </cell>
          <cell r="G462">
            <v>9</v>
          </cell>
          <cell r="H462">
            <v>34635</v>
          </cell>
          <cell r="I462">
            <v>311715</v>
          </cell>
          <cell r="J462" t="str">
            <v>Oui</v>
          </cell>
          <cell r="K462" t="str">
            <v>Générique</v>
          </cell>
        </row>
        <row r="463">
          <cell r="A463">
            <v>31169</v>
          </cell>
          <cell r="B463" t="str">
            <v>SF-AC1200-2-EU - AP/PTP/PTmP Extérieur IgniteNet SkyFire¿AC1200 - 802.11ac 1200 Mbps - 2,4 (30 dBm) et 5 Ghz (28 dBm) - Antennes 2,4 (7dBm - omni) et 5GHz (15dBm - directive 30º) intégrées - in</v>
          </cell>
          <cell r="C463" t="str">
            <v>OBS</v>
          </cell>
          <cell r="D463" t="str">
            <v>PCE</v>
          </cell>
          <cell r="E463">
            <v>2</v>
          </cell>
          <cell r="F463">
            <v>5</v>
          </cell>
          <cell r="G463">
            <v>7</v>
          </cell>
          <cell r="H463">
            <v>84855</v>
          </cell>
          <cell r="I463">
            <v>593985</v>
          </cell>
          <cell r="J463" t="str">
            <v>Oui</v>
          </cell>
          <cell r="K463" t="str">
            <v>Générique</v>
          </cell>
        </row>
        <row r="464">
          <cell r="A464">
            <v>31225</v>
          </cell>
          <cell r="B464" t="str">
            <v>3BN67330AB 8232s DECT Handset, contains battery and Belt clip</v>
          </cell>
          <cell r="C464" t="str">
            <v>OBS</v>
          </cell>
          <cell r="D464" t="str">
            <v>PCE</v>
          </cell>
          <cell r="F464">
            <v>13</v>
          </cell>
          <cell r="G464">
            <v>13</v>
          </cell>
          <cell r="H464">
            <v>53315.494478947301</v>
          </cell>
          <cell r="I464">
            <v>693101.42822631495</v>
          </cell>
          <cell r="J464" t="str">
            <v>Oui</v>
          </cell>
          <cell r="K464" t="str">
            <v>Alcatel-Lucent</v>
          </cell>
        </row>
        <row r="465">
          <cell r="A465">
            <v>31236</v>
          </cell>
          <cell r="B465" t="str">
            <v>PVDM4-32 32-channel DSP module</v>
          </cell>
          <cell r="C465" t="str">
            <v>OBS</v>
          </cell>
          <cell r="D465" t="str">
            <v>PCE</v>
          </cell>
          <cell r="E465">
            <v>1</v>
          </cell>
          <cell r="F465">
            <v>1</v>
          </cell>
          <cell r="G465">
            <v>2</v>
          </cell>
          <cell r="H465">
            <v>524594</v>
          </cell>
          <cell r="I465">
            <v>1049188</v>
          </cell>
          <cell r="J465" t="str">
            <v>Oui</v>
          </cell>
          <cell r="K465" t="str">
            <v>Cisco</v>
          </cell>
        </row>
        <row r="466">
          <cell r="A466">
            <v>31278</v>
          </cell>
          <cell r="B466" t="str">
            <v>ATL1412833 Alcatel Conference IP1850 SIP CE</v>
          </cell>
          <cell r="C466" t="str">
            <v>OBS</v>
          </cell>
          <cell r="D466" t="str">
            <v>PCE</v>
          </cell>
          <cell r="F466">
            <v>10</v>
          </cell>
          <cell r="G466">
            <v>10</v>
          </cell>
          <cell r="H466">
            <v>200441</v>
          </cell>
          <cell r="I466">
            <v>2004410</v>
          </cell>
          <cell r="J466" t="str">
            <v>Oui</v>
          </cell>
          <cell r="K466" t="str">
            <v>Alcatel-Lucent</v>
          </cell>
        </row>
        <row r="467">
          <cell r="A467">
            <v>31279</v>
          </cell>
          <cell r="B467" t="str">
            <v>ATL1410037 Alcatel Conference 1800 noir</v>
          </cell>
          <cell r="C467" t="str">
            <v>OBS</v>
          </cell>
          <cell r="D467" t="str">
            <v>PCE</v>
          </cell>
          <cell r="F467">
            <v>7</v>
          </cell>
          <cell r="G467">
            <v>7</v>
          </cell>
          <cell r="H467">
            <v>170372</v>
          </cell>
          <cell r="I467">
            <v>1192604</v>
          </cell>
          <cell r="J467" t="str">
            <v>Oui</v>
          </cell>
          <cell r="K467" t="str">
            <v>Alcatel-Lucent</v>
          </cell>
        </row>
        <row r="468">
          <cell r="A468">
            <v>31280</v>
          </cell>
          <cell r="B468" t="str">
            <v>ATLC1415520 Alcatel S250 ECE noir</v>
          </cell>
          <cell r="C468" t="str">
            <v>OBS</v>
          </cell>
          <cell r="D468" t="str">
            <v>PCE</v>
          </cell>
          <cell r="F468">
            <v>30</v>
          </cell>
          <cell r="G468">
            <v>30</v>
          </cell>
          <cell r="H468">
            <v>10377</v>
          </cell>
          <cell r="I468">
            <v>311310</v>
          </cell>
          <cell r="J468" t="str">
            <v>Oui</v>
          </cell>
          <cell r="K468" t="str">
            <v>Alcatel-Lucent</v>
          </cell>
        </row>
        <row r="469">
          <cell r="A469">
            <v>31281</v>
          </cell>
          <cell r="B469" t="str">
            <v>Micro casque sans fil DECT Plantronics CS 540 Réf : PLANTRONICS 84693-02</v>
          </cell>
          <cell r="C469" t="str">
            <v>OBS</v>
          </cell>
          <cell r="D469" t="str">
            <v>PCE</v>
          </cell>
          <cell r="E469">
            <v>26</v>
          </cell>
          <cell r="G469">
            <v>26</v>
          </cell>
          <cell r="H469">
            <v>103988.12300000001</v>
          </cell>
          <cell r="I469">
            <v>2703691.1980000003</v>
          </cell>
          <cell r="J469" t="str">
            <v>oui</v>
          </cell>
          <cell r="K469">
            <v>0</v>
          </cell>
        </row>
        <row r="470">
          <cell r="A470">
            <v>31285</v>
          </cell>
          <cell r="B470" t="str">
            <v>3BA00760AC    PACK INT-IP3 120        </v>
          </cell>
          <cell r="C470" t="str">
            <v>OBS</v>
          </cell>
          <cell r="D470" t="str">
            <v>PCE</v>
          </cell>
          <cell r="E470">
            <v>2</v>
          </cell>
          <cell r="G470">
            <v>2</v>
          </cell>
          <cell r="H470">
            <v>3341717</v>
          </cell>
          <cell r="I470">
            <v>6683434</v>
          </cell>
          <cell r="J470" t="str">
            <v>Oui</v>
          </cell>
          <cell r="K470" t="str">
            <v>Alcatel-Lucent</v>
          </cell>
        </row>
        <row r="471">
          <cell r="A471">
            <v>31286</v>
          </cell>
          <cell r="B471" t="str">
            <v>3BN77020BA    8379 DECT IBS INTEGRATED ANTENNAS</v>
          </cell>
          <cell r="C471" t="str">
            <v>OBS</v>
          </cell>
          <cell r="D471" t="str">
            <v>PCE</v>
          </cell>
          <cell r="E471">
            <v>3</v>
          </cell>
          <cell r="F471">
            <v>21</v>
          </cell>
          <cell r="G471">
            <v>24</v>
          </cell>
          <cell r="H471">
            <v>127248.72463677201</v>
          </cell>
          <cell r="I471">
            <v>3053969.3912825282</v>
          </cell>
          <cell r="J471" t="str">
            <v>Oui</v>
          </cell>
          <cell r="K471" t="str">
            <v>Alcatel-Lucent</v>
          </cell>
        </row>
        <row r="472">
          <cell r="A472">
            <v>31287</v>
          </cell>
          <cell r="B472" t="str">
            <v>3BA23258AB    CPU8 BOARD  </v>
          </cell>
          <cell r="C472" t="str">
            <v>OBS</v>
          </cell>
          <cell r="D472" t="str">
            <v>PCE</v>
          </cell>
          <cell r="E472">
            <v>2</v>
          </cell>
          <cell r="G472">
            <v>2</v>
          </cell>
          <cell r="H472">
            <v>1524903</v>
          </cell>
          <cell r="I472">
            <v>3049806</v>
          </cell>
          <cell r="J472" t="str">
            <v>Oui</v>
          </cell>
          <cell r="K472" t="str">
            <v>Alcatel-Lucent</v>
          </cell>
        </row>
        <row r="473">
          <cell r="A473">
            <v>31288</v>
          </cell>
          <cell r="B473" t="str">
            <v>3BA27013AD    DISK DRIVE FOR CPU8 / CS-3</v>
          </cell>
          <cell r="C473" t="str">
            <v>OBS</v>
          </cell>
          <cell r="D473" t="str">
            <v>PCE</v>
          </cell>
          <cell r="E473">
            <v>5</v>
          </cell>
          <cell r="G473">
            <v>5</v>
          </cell>
          <cell r="H473">
            <v>205094.237728571</v>
          </cell>
          <cell r="I473">
            <v>1025471.188642855</v>
          </cell>
          <cell r="J473" t="str">
            <v>Oui</v>
          </cell>
          <cell r="K473" t="str">
            <v>Alcatel-Lucent</v>
          </cell>
        </row>
        <row r="474">
          <cell r="A474">
            <v>31290</v>
          </cell>
          <cell r="B474" t="str">
            <v>3ML37030AA ALE-30H HYBRID DIGITAL IP DESKPHONE</v>
          </cell>
          <cell r="C474" t="str">
            <v>OBS</v>
          </cell>
          <cell r="D474" t="str">
            <v>PCE</v>
          </cell>
          <cell r="E474">
            <v>5</v>
          </cell>
          <cell r="F474">
            <v>79</v>
          </cell>
          <cell r="G474">
            <v>84</v>
          </cell>
          <cell r="H474">
            <v>71932.538332089505</v>
          </cell>
          <cell r="I474">
            <v>6042333.2198955184</v>
          </cell>
          <cell r="J474" t="str">
            <v>Oui</v>
          </cell>
          <cell r="K474" t="str">
            <v>Alcatel-Lucent</v>
          </cell>
        </row>
        <row r="475">
          <cell r="A475">
            <v>31291</v>
          </cell>
          <cell r="B475" t="str">
            <v>3MG27205FR    8078S PREMIUM DESKPHONE FR</v>
          </cell>
          <cell r="C475" t="str">
            <v>OBS</v>
          </cell>
          <cell r="D475" t="str">
            <v>PCE</v>
          </cell>
          <cell r="E475">
            <v>12</v>
          </cell>
          <cell r="F475">
            <v>15</v>
          </cell>
          <cell r="G475">
            <v>27</v>
          </cell>
          <cell r="H475">
            <v>151050.49817499999</v>
          </cell>
          <cell r="I475">
            <v>4078363.4507249994</v>
          </cell>
          <cell r="J475" t="str">
            <v>Oui</v>
          </cell>
          <cell r="K475" t="str">
            <v>Alcatel-Lucent</v>
          </cell>
        </row>
        <row r="476">
          <cell r="A476">
            <v>31292</v>
          </cell>
          <cell r="B476" t="str">
            <v>3MG27218FR    8029S PREMIUM DESKPHONE FR</v>
          </cell>
          <cell r="C476" t="str">
            <v>OBS</v>
          </cell>
          <cell r="D476" t="str">
            <v>PCE</v>
          </cell>
          <cell r="E476">
            <v>13</v>
          </cell>
          <cell r="F476">
            <v>41</v>
          </cell>
          <cell r="G476">
            <v>54</v>
          </cell>
          <cell r="H476">
            <v>61564.174758677502</v>
          </cell>
          <cell r="I476">
            <v>3324465.436968585</v>
          </cell>
          <cell r="J476" t="str">
            <v>Oui</v>
          </cell>
          <cell r="K476" t="str">
            <v>Alcatel-Lucent</v>
          </cell>
        </row>
        <row r="477">
          <cell r="A477">
            <v>31293</v>
          </cell>
          <cell r="B477" t="str">
            <v>3MG27219FR    8039S PREMIUM DESKPHONE FR</v>
          </cell>
          <cell r="C477" t="str">
            <v>OBS</v>
          </cell>
          <cell r="D477" t="str">
            <v>PCE</v>
          </cell>
          <cell r="E477">
            <v>13</v>
          </cell>
          <cell r="F477">
            <v>54</v>
          </cell>
          <cell r="G477">
            <v>67</v>
          </cell>
          <cell r="H477">
            <v>93591.558902941106</v>
          </cell>
          <cell r="I477">
            <v>6270634.4464970538</v>
          </cell>
          <cell r="J477" t="str">
            <v>Oui</v>
          </cell>
          <cell r="K477" t="str">
            <v>Alcatel-Lucent</v>
          </cell>
        </row>
        <row r="478">
          <cell r="A478">
            <v>31299</v>
          </cell>
          <cell r="B478" t="str">
            <v>3MG27127AA 8088 BT SMART DESKPHONE V3</v>
          </cell>
          <cell r="C478" t="str">
            <v>OBS</v>
          </cell>
          <cell r="D478" t="str">
            <v>PCE</v>
          </cell>
          <cell r="F478">
            <v>34</v>
          </cell>
          <cell r="G478">
            <v>34</v>
          </cell>
          <cell r="H478">
            <v>213330.33554</v>
          </cell>
          <cell r="I478">
            <v>7253231.4083599998</v>
          </cell>
          <cell r="J478" t="str">
            <v>Oui</v>
          </cell>
          <cell r="K478" t="str">
            <v>Alcatel-Lucent</v>
          </cell>
        </row>
        <row r="479">
          <cell r="A479">
            <v>31300</v>
          </cell>
          <cell r="B479" t="str">
            <v>Postes GRP2612P</v>
          </cell>
          <cell r="C479" t="str">
            <v>OBS</v>
          </cell>
          <cell r="D479" t="str">
            <v>PCE</v>
          </cell>
          <cell r="E479">
            <v>2</v>
          </cell>
          <cell r="F479">
            <v>5</v>
          </cell>
          <cell r="G479">
            <v>7</v>
          </cell>
          <cell r="H479">
            <v>24405.973446666601</v>
          </cell>
          <cell r="I479">
            <v>170841.8141266662</v>
          </cell>
          <cell r="J479" t="str">
            <v>Oui</v>
          </cell>
          <cell r="K479" t="str">
            <v>Grandstream</v>
          </cell>
        </row>
        <row r="480">
          <cell r="A480">
            <v>31301</v>
          </cell>
          <cell r="B480" t="str">
            <v>Postes GXV3350</v>
          </cell>
          <cell r="C480" t="str">
            <v>OBS</v>
          </cell>
          <cell r="D480" t="str">
            <v>PCE</v>
          </cell>
          <cell r="E480">
            <v>5</v>
          </cell>
          <cell r="G480">
            <v>5</v>
          </cell>
          <cell r="H480">
            <v>97914.701390000002</v>
          </cell>
          <cell r="I480">
            <v>489573.50695000001</v>
          </cell>
          <cell r="J480" t="str">
            <v>oui</v>
          </cell>
          <cell r="K480" t="str">
            <v>Alcatel-Lucent</v>
          </cell>
        </row>
        <row r="481">
          <cell r="A481">
            <v>31305</v>
          </cell>
          <cell r="B481" t="str">
            <v>3BA00835AA PCS CS-3 BOARD EQUIPPED</v>
          </cell>
          <cell r="C481" t="str">
            <v>OBS</v>
          </cell>
          <cell r="D481" t="str">
            <v>PCE</v>
          </cell>
          <cell r="E481">
            <v>5</v>
          </cell>
          <cell r="G481">
            <v>5</v>
          </cell>
          <cell r="H481">
            <v>819946.25</v>
          </cell>
          <cell r="I481">
            <v>4099731.25</v>
          </cell>
          <cell r="J481" t="str">
            <v>oui</v>
          </cell>
          <cell r="K481" t="str">
            <v>Alcatel-Lucent</v>
          </cell>
        </row>
        <row r="482">
          <cell r="A482">
            <v>31307</v>
          </cell>
          <cell r="B482" t="str">
            <v>Goulotte Mosaic 50x100  LG : 638030 (en longueur)</v>
          </cell>
          <cell r="C482" t="str">
            <v>OBS</v>
          </cell>
          <cell r="D482" t="str">
            <v>PCE</v>
          </cell>
          <cell r="E482">
            <v>40</v>
          </cell>
          <cell r="F482">
            <v>880</v>
          </cell>
          <cell r="G482">
            <v>920</v>
          </cell>
          <cell r="H482">
            <v>7535.3012398928504</v>
          </cell>
          <cell r="I482">
            <v>6932477.1407014225</v>
          </cell>
          <cell r="J482" t="str">
            <v>Non</v>
          </cell>
          <cell r="K482" t="str">
            <v>Legrand</v>
          </cell>
        </row>
        <row r="483">
          <cell r="A483">
            <v>31308</v>
          </cell>
          <cell r="B483" t="str">
            <v>Angle Intérieur Goulotte Mosaic 50x100          LG : 638031</v>
          </cell>
          <cell r="C483" t="str">
            <v>OBS</v>
          </cell>
          <cell r="D483" t="str">
            <v>PCE</v>
          </cell>
          <cell r="F483">
            <v>200</v>
          </cell>
          <cell r="G483">
            <v>200</v>
          </cell>
          <cell r="H483">
            <v>1878.1807802548101</v>
          </cell>
          <cell r="I483">
            <v>375636.15605096205</v>
          </cell>
          <cell r="J483" t="str">
            <v>Non</v>
          </cell>
          <cell r="K483" t="str">
            <v>Générique</v>
          </cell>
        </row>
        <row r="484">
          <cell r="A484">
            <v>31309</v>
          </cell>
          <cell r="B484" t="str">
            <v>Angle Extérieur Goulotte Mosaic 50x100         LG : 638032</v>
          </cell>
          <cell r="C484" t="str">
            <v>OBS</v>
          </cell>
          <cell r="D484" t="str">
            <v>PCE</v>
          </cell>
          <cell r="F484">
            <v>240</v>
          </cell>
          <cell r="G484">
            <v>240</v>
          </cell>
          <cell r="H484">
            <v>1851.44259927797</v>
          </cell>
          <cell r="I484">
            <v>444346.22382671281</v>
          </cell>
          <cell r="J484" t="str">
            <v>Non</v>
          </cell>
          <cell r="K484" t="str">
            <v>Legrand</v>
          </cell>
        </row>
        <row r="485">
          <cell r="A485">
            <v>31310</v>
          </cell>
          <cell r="B485" t="str">
            <v>Embout Goulotte Mosaic 50x100                     LG : 638035</v>
          </cell>
          <cell r="C485" t="str">
            <v>OBS</v>
          </cell>
          <cell r="D485" t="str">
            <v>PCE</v>
          </cell>
          <cell r="E485">
            <v>161</v>
          </cell>
          <cell r="F485">
            <v>194</v>
          </cell>
          <cell r="G485">
            <v>355</v>
          </cell>
          <cell r="H485">
            <v>832.77374967495302</v>
          </cell>
          <cell r="I485">
            <v>295634.68113460834</v>
          </cell>
          <cell r="J485" t="str">
            <v>Non</v>
          </cell>
          <cell r="K485" t="str">
            <v>Générique</v>
          </cell>
        </row>
        <row r="486">
          <cell r="A486">
            <v>31331</v>
          </cell>
          <cell r="B486" t="str">
            <v>3BN67331AB 8232-8242 DECT HANDSET DESKTOP CHARGER    </v>
          </cell>
          <cell r="C486" t="str">
            <v>OBS</v>
          </cell>
          <cell r="D486" t="str">
            <v>PCE</v>
          </cell>
          <cell r="F486">
            <v>5</v>
          </cell>
          <cell r="G486">
            <v>5</v>
          </cell>
          <cell r="H486">
            <v>11281.9945668778</v>
          </cell>
          <cell r="I486">
            <v>56409.972834389002</v>
          </cell>
          <cell r="J486" t="str">
            <v>Oui</v>
          </cell>
          <cell r="K486" t="str">
            <v>Alcatel-Lucent</v>
          </cell>
        </row>
        <row r="487">
          <cell r="A487">
            <v>31517</v>
          </cell>
          <cell r="B487" t="str">
            <v>PLANTRONICS 208769-01 Voyager 8200 UC,B8200,Black,WW</v>
          </cell>
          <cell r="C487" t="str">
            <v>OBS</v>
          </cell>
          <cell r="D487" t="str">
            <v>PCE</v>
          </cell>
          <cell r="E487">
            <v>1</v>
          </cell>
          <cell r="G487">
            <v>1</v>
          </cell>
          <cell r="H487">
            <v>141031</v>
          </cell>
          <cell r="I487">
            <v>141031</v>
          </cell>
          <cell r="J487" t="str">
            <v>Oui</v>
          </cell>
          <cell r="K487" t="str">
            <v>Générique</v>
          </cell>
        </row>
        <row r="488">
          <cell r="A488">
            <v>31519</v>
          </cell>
          <cell r="B488" t="str">
            <v>Goulotte à colle 25x16</v>
          </cell>
          <cell r="C488" t="str">
            <v>OBS</v>
          </cell>
          <cell r="D488" t="str">
            <v>PCE</v>
          </cell>
          <cell r="E488">
            <v>50</v>
          </cell>
          <cell r="G488">
            <v>50</v>
          </cell>
          <cell r="H488">
            <v>1000</v>
          </cell>
          <cell r="I488">
            <v>50000</v>
          </cell>
          <cell r="J488" t="str">
            <v>Non</v>
          </cell>
          <cell r="K488" t="str">
            <v>Local</v>
          </cell>
        </row>
        <row r="489">
          <cell r="A489">
            <v>31529</v>
          </cell>
          <cell r="B489" t="str">
            <v>N100.624-OD = Câble F1/UTP LANmark-6 Catégorie 6 AWG24 350MHz LSZH Dca s2 d1 a1  Orange 4 paires 500m</v>
          </cell>
          <cell r="C489" t="str">
            <v>OBS</v>
          </cell>
          <cell r="D489" t="str">
            <v>PCE</v>
          </cell>
          <cell r="F489">
            <v>100</v>
          </cell>
          <cell r="G489">
            <v>100</v>
          </cell>
          <cell r="H489">
            <v>300</v>
          </cell>
          <cell r="I489">
            <v>30000</v>
          </cell>
          <cell r="J489" t="str">
            <v>Oui</v>
          </cell>
          <cell r="K489" t="str">
            <v>Nexans</v>
          </cell>
        </row>
        <row r="490">
          <cell r="A490">
            <v>31531</v>
          </cell>
          <cell r="B490" t="str">
            <v>N122.5LLA20 Cordon LANmark-OF Slimflex Duplex  DLC-DLC OM3 LSZH 20m Aqua</v>
          </cell>
          <cell r="C490" t="str">
            <v>OBS</v>
          </cell>
          <cell r="D490" t="str">
            <v>PCE</v>
          </cell>
          <cell r="F490">
            <v>5</v>
          </cell>
          <cell r="G490">
            <v>5</v>
          </cell>
          <cell r="H490">
            <v>18917.799879999999</v>
          </cell>
          <cell r="I490">
            <v>94588.999400000001</v>
          </cell>
          <cell r="J490" t="str">
            <v>Oui</v>
          </cell>
          <cell r="K490" t="str">
            <v>Nexans</v>
          </cell>
        </row>
        <row r="491">
          <cell r="A491">
            <v>31536</v>
          </cell>
          <cell r="B491" t="str">
            <v>N500.206 Essential-5 PCB Patch Panel Unscreened 24 RJ45 Cat 5e Rear Connect Black</v>
          </cell>
          <cell r="C491" t="str">
            <v>OBS</v>
          </cell>
          <cell r="D491" t="str">
            <v>PCE</v>
          </cell>
          <cell r="E491">
            <v>2</v>
          </cell>
          <cell r="F491">
            <v>48</v>
          </cell>
          <cell r="G491">
            <v>50</v>
          </cell>
          <cell r="H491">
            <v>25044</v>
          </cell>
          <cell r="I491">
            <v>1252200</v>
          </cell>
          <cell r="J491" t="str">
            <v>Oui</v>
          </cell>
          <cell r="K491" t="str">
            <v>Nexans</v>
          </cell>
        </row>
        <row r="492">
          <cell r="A492">
            <v>31544</v>
          </cell>
          <cell r="B492" t="str">
            <v>N121.5TCA Pigtail LANmark-OF SC OM3 Tight Buffer LSZH 50/125 1m Aqua</v>
          </cell>
          <cell r="C492" t="str">
            <v>OBS</v>
          </cell>
          <cell r="D492" t="str">
            <v>PCE</v>
          </cell>
          <cell r="E492">
            <v>2</v>
          </cell>
          <cell r="G492">
            <v>2</v>
          </cell>
          <cell r="H492">
            <v>1705</v>
          </cell>
          <cell r="I492">
            <v>3410</v>
          </cell>
          <cell r="J492" t="str">
            <v>Oui</v>
          </cell>
          <cell r="K492" t="str">
            <v>Nexans</v>
          </cell>
        </row>
        <row r="493">
          <cell r="A493">
            <v>31548</v>
          </cell>
          <cell r="B493" t="str">
            <v>N122.5CLA5     Cordon LANmark-OF Slimflex Duplex  DSC-DLC OM3 LSZH 5m Aqua</v>
          </cell>
          <cell r="C493" t="str">
            <v>OBS</v>
          </cell>
          <cell r="D493" t="str">
            <v>PCE</v>
          </cell>
          <cell r="F493">
            <v>2</v>
          </cell>
          <cell r="G493">
            <v>2</v>
          </cell>
          <cell r="H493">
            <v>9774</v>
          </cell>
          <cell r="I493">
            <v>19548</v>
          </cell>
          <cell r="J493" t="str">
            <v>Oui</v>
          </cell>
          <cell r="K493" t="str">
            <v>Nexans</v>
          </cell>
        </row>
        <row r="494">
          <cell r="A494">
            <v>31549</v>
          </cell>
          <cell r="B494" t="str">
            <v>3BN67160AA 4070IA RBS INTERNE EUROPE</v>
          </cell>
          <cell r="C494" t="str">
            <v>OBS</v>
          </cell>
          <cell r="D494" t="str">
            <v>PCE</v>
          </cell>
          <cell r="F494">
            <v>5</v>
          </cell>
          <cell r="G494">
            <v>5</v>
          </cell>
          <cell r="H494">
            <v>258053.41216000001</v>
          </cell>
          <cell r="I494">
            <v>1290267.0608000001</v>
          </cell>
          <cell r="J494" t="str">
            <v>Oui</v>
          </cell>
          <cell r="K494" t="str">
            <v>Alcatel-Lucent</v>
          </cell>
        </row>
        <row r="495">
          <cell r="A495">
            <v>31552</v>
          </cell>
          <cell r="B495" t="str">
            <v>3MG27221AA 8019s Deskphone Moon Grey, 64x128 backlit black   white LCD, 6 Softkeys, 4 programmable keys with Led   Paper Label, Handsfree, Comfort handset, Jack 3,5 mm 4 poles</v>
          </cell>
          <cell r="C495" t="str">
            <v>OBS</v>
          </cell>
          <cell r="D495" t="str">
            <v>PCE</v>
          </cell>
          <cell r="E495">
            <v>8</v>
          </cell>
          <cell r="F495">
            <v>80</v>
          </cell>
          <cell r="G495">
            <v>88</v>
          </cell>
          <cell r="H495">
            <v>41174.027886368502</v>
          </cell>
          <cell r="I495">
            <v>3623314.4540004283</v>
          </cell>
          <cell r="J495" t="str">
            <v>Oui</v>
          </cell>
          <cell r="K495" t="str">
            <v>Alcatel-Lucent</v>
          </cell>
        </row>
        <row r="496">
          <cell r="A496">
            <v>31572</v>
          </cell>
          <cell r="B496" t="str">
            <v>Cable FTP  20m CAT 5</v>
          </cell>
          <cell r="C496" t="str">
            <v>OBS</v>
          </cell>
          <cell r="D496" t="str">
            <v>PCE</v>
          </cell>
          <cell r="F496">
            <v>6</v>
          </cell>
          <cell r="G496">
            <v>6</v>
          </cell>
          <cell r="H496">
            <v>5000</v>
          </cell>
          <cell r="I496">
            <v>30000</v>
          </cell>
          <cell r="J496" t="str">
            <v>Non</v>
          </cell>
          <cell r="K496" t="str">
            <v>Générique</v>
          </cell>
        </row>
        <row r="497">
          <cell r="A497">
            <v>31611</v>
          </cell>
          <cell r="B497" t="str">
            <v>3BA26274AB POWER SUPPLY 110V/500W - 230V/1000W</v>
          </cell>
          <cell r="C497" t="str">
            <v>OBS</v>
          </cell>
          <cell r="D497" t="str">
            <v>PCE</v>
          </cell>
          <cell r="E497">
            <v>2</v>
          </cell>
          <cell r="F497">
            <v>9</v>
          </cell>
          <cell r="G497">
            <v>11</v>
          </cell>
          <cell r="H497">
            <v>279771.65828528802</v>
          </cell>
          <cell r="I497">
            <v>3077488.2411381681</v>
          </cell>
          <cell r="J497" t="str">
            <v>Oui</v>
          </cell>
          <cell r="K497" t="str">
            <v>Alcatel-Lucent</v>
          </cell>
        </row>
        <row r="498">
          <cell r="A498">
            <v>31612</v>
          </cell>
          <cell r="B498" t="str">
            <v>3BA27305AB PSC RECTIFIER CABINET</v>
          </cell>
          <cell r="C498" t="str">
            <v>OBS</v>
          </cell>
          <cell r="D498" t="str">
            <v>PCE</v>
          </cell>
          <cell r="F498">
            <v>12</v>
          </cell>
          <cell r="G498">
            <v>12</v>
          </cell>
          <cell r="H498">
            <v>1124063.2150000001</v>
          </cell>
          <cell r="I498">
            <v>13488758.580000002</v>
          </cell>
          <cell r="J498" t="str">
            <v>Oui</v>
          </cell>
          <cell r="K498" t="str">
            <v>Alcatel-Lucent</v>
          </cell>
        </row>
        <row r="499">
          <cell r="A499">
            <v>31613</v>
          </cell>
          <cell r="B499" t="str">
            <v>3BA57076AA BATTERIE 48V/38AH</v>
          </cell>
          <cell r="C499" t="str">
            <v>OBS</v>
          </cell>
          <cell r="D499" t="str">
            <v>PCE</v>
          </cell>
          <cell r="E499">
            <v>2</v>
          </cell>
          <cell r="G499">
            <v>2</v>
          </cell>
          <cell r="H499">
            <v>241819</v>
          </cell>
          <cell r="I499">
            <v>483638</v>
          </cell>
          <cell r="J499" t="str">
            <v>Oui</v>
          </cell>
          <cell r="K499" t="str">
            <v>Alcatel-Lucent</v>
          </cell>
        </row>
        <row r="500">
          <cell r="A500">
            <v>31616</v>
          </cell>
          <cell r="B500" t="str">
            <v>N100.164-OE Es6 UTP AW24 Cat6 LSZH E Ora 500 rl</v>
          </cell>
          <cell r="C500" t="str">
            <v>OBS</v>
          </cell>
          <cell r="D500" t="str">
            <v>PCE</v>
          </cell>
          <cell r="E500">
            <v>3448</v>
          </cell>
          <cell r="F500">
            <v>10965</v>
          </cell>
          <cell r="G500">
            <v>14413</v>
          </cell>
          <cell r="H500">
            <v>314.20340299999998</v>
          </cell>
          <cell r="I500">
            <v>4528613.6474389993</v>
          </cell>
          <cell r="J500" t="str">
            <v>oui</v>
          </cell>
          <cell r="K500" t="str">
            <v>Nexans</v>
          </cell>
        </row>
        <row r="501">
          <cell r="A501">
            <v>31640</v>
          </cell>
          <cell r="B501" t="str">
            <v>603857 NORMACLIPALU BL</v>
          </cell>
          <cell r="C501" t="str">
            <v>OBS</v>
          </cell>
          <cell r="D501" t="str">
            <v>PCE</v>
          </cell>
          <cell r="F501">
            <v>200</v>
          </cell>
          <cell r="G501">
            <v>200</v>
          </cell>
          <cell r="H501">
            <v>825</v>
          </cell>
          <cell r="I501">
            <v>165000</v>
          </cell>
          <cell r="J501" t="str">
            <v>Non</v>
          </cell>
          <cell r="K501" t="str">
            <v>Générique</v>
          </cell>
        </row>
        <row r="502">
          <cell r="A502">
            <v>31641</v>
          </cell>
          <cell r="B502" t="str">
            <v>Poste gigaset AS470</v>
          </cell>
          <cell r="C502" t="str">
            <v>OBS</v>
          </cell>
          <cell r="D502" t="str">
            <v>PCE</v>
          </cell>
          <cell r="F502">
            <v>18</v>
          </cell>
          <cell r="G502">
            <v>18</v>
          </cell>
          <cell r="H502">
            <v>13713</v>
          </cell>
          <cell r="I502">
            <v>246834</v>
          </cell>
          <cell r="J502" t="str">
            <v>Oui</v>
          </cell>
          <cell r="K502" t="str">
            <v>Générique</v>
          </cell>
        </row>
        <row r="503">
          <cell r="A503">
            <v>31643</v>
          </cell>
          <cell r="B503" t="str">
            <v>N100.692G-OD Câble F/FTP LANmark-6A AWG23 Catégorie 6A AWG23 LSZH Dca s2 d1 a1 Orange 4 paires 1000m</v>
          </cell>
          <cell r="C503" t="str">
            <v>OBS</v>
          </cell>
          <cell r="D503" t="str">
            <v>PCE</v>
          </cell>
          <cell r="E503">
            <v>6060</v>
          </cell>
          <cell r="F503">
            <v>98000</v>
          </cell>
          <cell r="G503">
            <v>104060</v>
          </cell>
          <cell r="H503">
            <v>509.534302097649</v>
          </cell>
          <cell r="I503">
            <v>53022139.476281352</v>
          </cell>
          <cell r="J503" t="str">
            <v>Oui</v>
          </cell>
          <cell r="K503" t="str">
            <v>Nexans</v>
          </cell>
        </row>
        <row r="504">
          <cell r="A504">
            <v>31644</v>
          </cell>
          <cell r="B504" t="str">
            <v>638033 ANGLE PLAT 100X50 MM  </v>
          </cell>
          <cell r="C504" t="str">
            <v>OBS</v>
          </cell>
          <cell r="D504" t="str">
            <v>PCE</v>
          </cell>
          <cell r="E504">
            <v>35</v>
          </cell>
          <cell r="F504">
            <v>680</v>
          </cell>
          <cell r="G504">
            <v>715</v>
          </cell>
          <cell r="H504">
            <v>2147.7738444980901</v>
          </cell>
          <cell r="I504">
            <v>1535658.2988161345</v>
          </cell>
          <cell r="J504" t="str">
            <v>Non</v>
          </cell>
          <cell r="K504" t="str">
            <v>Legrand</v>
          </cell>
        </row>
        <row r="505">
          <cell r="A505">
            <v>31664</v>
          </cell>
          <cell r="B505" t="str">
            <v>SAVI W8210/A,SAVI 3IN1,OTH MON,UC,DECT,EMEA Réf: 207309-12</v>
          </cell>
          <cell r="C505" t="str">
            <v>OBS</v>
          </cell>
          <cell r="D505" t="str">
            <v>PCE</v>
          </cell>
          <cell r="F505">
            <v>10</v>
          </cell>
          <cell r="G505">
            <v>10</v>
          </cell>
          <cell r="H505">
            <v>128422</v>
          </cell>
          <cell r="I505">
            <v>1284220</v>
          </cell>
          <cell r="J505" t="str">
            <v>Oui</v>
          </cell>
          <cell r="K505" t="str">
            <v>Générique</v>
          </cell>
        </row>
        <row r="506">
          <cell r="A506">
            <v>31665</v>
          </cell>
          <cell r="B506" t="str">
            <v>CS-100 Huddle set, certified in line with EU wireless requirements Réf: R9861510HEU</v>
          </cell>
          <cell r="C506" t="str">
            <v>OBS</v>
          </cell>
          <cell r="D506" t="str">
            <v>PCE</v>
          </cell>
          <cell r="F506">
            <v>16</v>
          </cell>
          <cell r="G506">
            <v>16</v>
          </cell>
          <cell r="H506">
            <v>307299</v>
          </cell>
          <cell r="I506">
            <v>4916784</v>
          </cell>
          <cell r="J506" t="str">
            <v>Oui</v>
          </cell>
          <cell r="K506" t="str">
            <v>Générique</v>
          </cell>
        </row>
        <row r="507">
          <cell r="A507">
            <v>31669</v>
          </cell>
          <cell r="B507" t="str">
            <v>CP-7821-K9= Cisco UC Phone 7821</v>
          </cell>
          <cell r="C507" t="str">
            <v>OBS</v>
          </cell>
          <cell r="D507" t="str">
            <v>PCE</v>
          </cell>
          <cell r="E507">
            <v>2</v>
          </cell>
          <cell r="G507">
            <v>2</v>
          </cell>
          <cell r="H507">
            <v>75735</v>
          </cell>
          <cell r="I507">
            <v>151470</v>
          </cell>
          <cell r="J507" t="str">
            <v>Oui</v>
          </cell>
          <cell r="K507" t="str">
            <v>Cisco</v>
          </cell>
        </row>
        <row r="508">
          <cell r="A508">
            <v>31670</v>
          </cell>
          <cell r="B508" t="str">
            <v>C1117-4PWE ISR 1100 4P DSL Annex A w/ 802.11ac -E WiFi</v>
          </cell>
          <cell r="C508" t="str">
            <v>OBS</v>
          </cell>
          <cell r="D508" t="str">
            <v>PCE</v>
          </cell>
          <cell r="E508">
            <v>3</v>
          </cell>
          <cell r="G508">
            <v>3</v>
          </cell>
          <cell r="H508">
            <v>392656.947347229</v>
          </cell>
          <cell r="I508">
            <v>1177970.8420416871</v>
          </cell>
          <cell r="J508" t="str">
            <v>Oui</v>
          </cell>
          <cell r="K508" t="str">
            <v>Cisco</v>
          </cell>
        </row>
        <row r="509">
          <cell r="A509">
            <v>31674</v>
          </cell>
          <cell r="B509" t="str">
            <v>VOYAGER 5200 OFFICE,2-WAY BASE,USB-A CABLE,EMEA Réf:  212732-05</v>
          </cell>
          <cell r="C509" t="str">
            <v>OBS</v>
          </cell>
          <cell r="D509" t="str">
            <v>PCE</v>
          </cell>
          <cell r="E509">
            <v>2</v>
          </cell>
          <cell r="F509">
            <v>10</v>
          </cell>
          <cell r="G509">
            <v>12</v>
          </cell>
          <cell r="H509">
            <v>92829.47346234</v>
          </cell>
          <cell r="I509">
            <v>1113953.6815480799</v>
          </cell>
          <cell r="J509" t="str">
            <v>Oui</v>
          </cell>
          <cell r="K509" t="str">
            <v>Générique</v>
          </cell>
        </row>
        <row r="510">
          <cell r="A510">
            <v>31675</v>
          </cell>
          <cell r="B510" t="str">
            <v>Entera HW121N/A Binaural micro PLANTRONICS Réf: 79181-13</v>
          </cell>
          <cell r="C510" t="str">
            <v>OBS</v>
          </cell>
          <cell r="D510" t="str">
            <v>PCE</v>
          </cell>
          <cell r="E510">
            <v>11</v>
          </cell>
          <cell r="F510">
            <v>82</v>
          </cell>
          <cell r="G510">
            <v>93</v>
          </cell>
          <cell r="H510">
            <v>35162.190121909</v>
          </cell>
          <cell r="I510">
            <v>3270083.6813375368</v>
          </cell>
          <cell r="J510" t="str">
            <v>Oui</v>
          </cell>
          <cell r="K510" t="str">
            <v>Générique</v>
          </cell>
        </row>
        <row r="511">
          <cell r="A511">
            <v>31691</v>
          </cell>
          <cell r="B511" t="str">
            <v>3EH73096AD MIXED MIX2/4/4-2 BOARD</v>
          </cell>
          <cell r="C511" t="str">
            <v>OBS</v>
          </cell>
          <cell r="D511" t="str">
            <v>U</v>
          </cell>
          <cell r="E511">
            <v>2</v>
          </cell>
          <cell r="F511">
            <v>2</v>
          </cell>
          <cell r="G511">
            <v>4</v>
          </cell>
          <cell r="H511">
            <v>124631.83</v>
          </cell>
          <cell r="I511">
            <v>498527.32</v>
          </cell>
          <cell r="J511" t="str">
            <v>Oui</v>
          </cell>
          <cell r="K511" t="str">
            <v>Alcatel-Lucent</v>
          </cell>
        </row>
        <row r="512">
          <cell r="A512">
            <v>31696</v>
          </cell>
          <cell r="B512" t="str">
            <v>GRANDSTREAM GXP1630</v>
          </cell>
          <cell r="C512" t="str">
            <v>OBS</v>
          </cell>
          <cell r="D512" t="str">
            <v>PCE</v>
          </cell>
          <cell r="E512">
            <v>3</v>
          </cell>
          <cell r="F512">
            <v>13</v>
          </cell>
          <cell r="G512">
            <v>16</v>
          </cell>
          <cell r="H512">
            <v>24036.451003333299</v>
          </cell>
          <cell r="I512">
            <v>384583.21605333278</v>
          </cell>
          <cell r="J512" t="str">
            <v>oui</v>
          </cell>
          <cell r="K512" t="str">
            <v>Alcatel-Lucent</v>
          </cell>
        </row>
        <row r="513">
          <cell r="A513">
            <v>31697</v>
          </cell>
          <cell r="B513" t="str">
            <v>FG-60F-BDL-950-DD Hardware plus 24x7 FortiCare and FortiGuard Unified Threat Protection (UTP)</v>
          </cell>
          <cell r="C513" t="str">
            <v>OBS</v>
          </cell>
          <cell r="D513" t="str">
            <v>PCE</v>
          </cell>
          <cell r="E513">
            <v>4</v>
          </cell>
          <cell r="G513">
            <v>4</v>
          </cell>
          <cell r="H513">
            <v>419653.65728239401</v>
          </cell>
          <cell r="I513">
            <v>1678614.629129576</v>
          </cell>
          <cell r="J513" t="str">
            <v>Oui</v>
          </cell>
          <cell r="K513" t="str">
            <v>Fortinet</v>
          </cell>
        </row>
        <row r="514">
          <cell r="A514">
            <v>31714</v>
          </cell>
          <cell r="B514" t="str">
            <v>N100.491-OD LANmark-5 F1/UTP AWG24 Cat 5e 155MHz LSZH Dca s2 d2 a1 Orange 305m box</v>
          </cell>
          <cell r="C514" t="str">
            <v>OBS</v>
          </cell>
          <cell r="D514" t="str">
            <v>PCE</v>
          </cell>
          <cell r="F514">
            <v>1445</v>
          </cell>
          <cell r="G514">
            <v>1445</v>
          </cell>
          <cell r="H514">
            <v>238</v>
          </cell>
          <cell r="I514">
            <v>343910</v>
          </cell>
          <cell r="J514" t="str">
            <v>Oui</v>
          </cell>
          <cell r="K514" t="str">
            <v>Nexans</v>
          </cell>
        </row>
        <row r="515">
          <cell r="A515">
            <v>31717</v>
          </cell>
          <cell r="B515" t="str">
            <v>3BA00827AA       OXE BASIC PACK - CS-3/GD3/1xMR3-230V</v>
          </cell>
          <cell r="C515" t="str">
            <v>OBS</v>
          </cell>
          <cell r="D515" t="str">
            <v>PCE</v>
          </cell>
          <cell r="E515">
            <v>1</v>
          </cell>
          <cell r="G515">
            <v>1</v>
          </cell>
          <cell r="H515">
            <v>903252.78899999999</v>
          </cell>
          <cell r="I515">
            <v>903252.78899999999</v>
          </cell>
          <cell r="J515" t="str">
            <v>Oui</v>
          </cell>
          <cell r="K515" t="str">
            <v>Alcatel-Lucent</v>
          </cell>
        </row>
        <row r="516">
          <cell r="A516">
            <v>31718</v>
          </cell>
          <cell r="B516" t="str">
            <v>3BN77020DA 8379 DECT IBS Outdoor Base station, supplied with external antennas, world wide base station</v>
          </cell>
          <cell r="C516" t="str">
            <v>OBS</v>
          </cell>
          <cell r="D516" t="str">
            <v>PCE</v>
          </cell>
          <cell r="F516">
            <v>5</v>
          </cell>
          <cell r="G516">
            <v>5</v>
          </cell>
          <cell r="H516">
            <v>228853.32865384599</v>
          </cell>
          <cell r="I516">
            <v>1144266.6432692299</v>
          </cell>
          <cell r="J516" t="str">
            <v>Oui</v>
          </cell>
          <cell r="K516" t="str">
            <v>Alcatel-Lucent</v>
          </cell>
        </row>
        <row r="517">
          <cell r="A517">
            <v>31738</v>
          </cell>
          <cell r="B517" t="str">
            <v>N100.365 LANmark-7 S/FTP AWG23 Cat 7 LSZH Orange 1000m reel_ LOCAL</v>
          </cell>
          <cell r="C517" t="str">
            <v>OBS</v>
          </cell>
          <cell r="D517" t="str">
            <v>PCE</v>
          </cell>
          <cell r="F517">
            <v>100</v>
          </cell>
          <cell r="G517">
            <v>100</v>
          </cell>
          <cell r="H517">
            <v>525</v>
          </cell>
          <cell r="I517">
            <v>52500</v>
          </cell>
          <cell r="J517" t="str">
            <v>Non</v>
          </cell>
          <cell r="K517" t="str">
            <v>Local</v>
          </cell>
        </row>
        <row r="518">
          <cell r="A518">
            <v>31740</v>
          </cell>
          <cell r="B518" t="str">
            <v>3MG27112AB 8088 BT SMART DESKPHONE V2</v>
          </cell>
          <cell r="C518" t="str">
            <v>OBS</v>
          </cell>
          <cell r="D518" t="str">
            <v>PCE</v>
          </cell>
          <cell r="E518">
            <v>15</v>
          </cell>
          <cell r="F518">
            <v>14</v>
          </cell>
          <cell r="G518">
            <v>29</v>
          </cell>
          <cell r="H518">
            <v>213330.32739430401</v>
          </cell>
          <cell r="I518">
            <v>6186579.4944348168</v>
          </cell>
          <cell r="J518" t="str">
            <v>Oui</v>
          </cell>
          <cell r="K518" t="str">
            <v>Alcatel-Lucent</v>
          </cell>
        </row>
        <row r="519">
          <cell r="A519">
            <v>31817</v>
          </cell>
          <cell r="B519" t="str">
            <v>BAIE LINKEO2 47U 8X10 A PLAT Réf.: 646799</v>
          </cell>
          <cell r="C519" t="str">
            <v>OBS</v>
          </cell>
          <cell r="D519" t="str">
            <v>PCE</v>
          </cell>
          <cell r="F519">
            <v>1</v>
          </cell>
          <cell r="G519">
            <v>1</v>
          </cell>
          <cell r="H519">
            <v>495566</v>
          </cell>
          <cell r="I519">
            <v>495566</v>
          </cell>
          <cell r="J519" t="str">
            <v>NON</v>
          </cell>
          <cell r="K519" t="str">
            <v>Générique</v>
          </cell>
        </row>
        <row r="520">
          <cell r="A520">
            <v>31823</v>
          </cell>
          <cell r="B520" t="str">
            <v>Cisco ISR 4321 Bundle, w/UC License ISR4321-V/K9</v>
          </cell>
          <cell r="C520" t="str">
            <v>OBS</v>
          </cell>
          <cell r="D520" t="str">
            <v>PCE</v>
          </cell>
          <cell r="E520">
            <v>1</v>
          </cell>
          <cell r="G520">
            <v>1</v>
          </cell>
          <cell r="H520">
            <v>761920.67652802297</v>
          </cell>
          <cell r="I520">
            <v>761920.67652802297</v>
          </cell>
          <cell r="J520" t="str">
            <v>Oui</v>
          </cell>
          <cell r="K520" t="str">
            <v>Cisco</v>
          </cell>
        </row>
        <row r="521">
          <cell r="A521">
            <v>31824</v>
          </cell>
          <cell r="B521" t="str">
            <v>Goulotte de sol 92x20mm Réf : LEGRAND 32800 </v>
          </cell>
          <cell r="C521" t="str">
            <v>OBS</v>
          </cell>
          <cell r="D521" t="str">
            <v>PCE</v>
          </cell>
          <cell r="E521">
            <v>23</v>
          </cell>
          <cell r="F521">
            <v>40</v>
          </cell>
          <cell r="G521">
            <v>63</v>
          </cell>
          <cell r="H521">
            <v>8792.27053140096</v>
          </cell>
          <cell r="I521">
            <v>553913.04347826052</v>
          </cell>
          <cell r="J521" t="str">
            <v>Non</v>
          </cell>
          <cell r="K521" t="str">
            <v>Legrand</v>
          </cell>
        </row>
        <row r="522">
          <cell r="A522">
            <v>31826</v>
          </cell>
          <cell r="B522" t="str">
            <v>Angles plats pour goulotte 100*45</v>
          </cell>
          <cell r="C522" t="str">
            <v>OBS</v>
          </cell>
          <cell r="D522" t="str">
            <v>PCE</v>
          </cell>
          <cell r="E522">
            <v>1</v>
          </cell>
          <cell r="F522">
            <v>29</v>
          </cell>
          <cell r="G522">
            <v>30</v>
          </cell>
          <cell r="H522">
            <v>1350</v>
          </cell>
          <cell r="I522">
            <v>40500</v>
          </cell>
          <cell r="J522" t="str">
            <v>Non</v>
          </cell>
          <cell r="K522" t="str">
            <v>Générique</v>
          </cell>
        </row>
        <row r="523">
          <cell r="A523">
            <v>31840</v>
          </cell>
          <cell r="B523" t="str">
            <v>3MJ37001AA  OXO CONNECT EVOLUTION</v>
          </cell>
          <cell r="C523" t="str">
            <v>OBS</v>
          </cell>
          <cell r="D523" t="str">
            <v>PCE</v>
          </cell>
          <cell r="F523">
            <v>40</v>
          </cell>
          <cell r="G523">
            <v>40</v>
          </cell>
          <cell r="H523">
            <v>94457.825443722904</v>
          </cell>
          <cell r="I523">
            <v>3778313.0177489161</v>
          </cell>
          <cell r="J523" t="str">
            <v>Oui</v>
          </cell>
          <cell r="K523" t="str">
            <v>Alcatel-Lucent</v>
          </cell>
        </row>
        <row r="524">
          <cell r="A524">
            <v>31841</v>
          </cell>
          <cell r="B524" t="str">
            <v>Prise complète double 2 RJ45 avec boite</v>
          </cell>
          <cell r="C524" t="str">
            <v>OBS</v>
          </cell>
          <cell r="D524" t="str">
            <v>PCE</v>
          </cell>
          <cell r="E524">
            <v>61</v>
          </cell>
          <cell r="G524">
            <v>61</v>
          </cell>
          <cell r="H524">
            <v>2541.2125323794198</v>
          </cell>
          <cell r="I524">
            <v>155013.9644751446</v>
          </cell>
          <cell r="J524" t="str">
            <v>Non</v>
          </cell>
          <cell r="K524" t="str">
            <v>Générique</v>
          </cell>
        </row>
        <row r="525">
          <cell r="A525">
            <v>31842</v>
          </cell>
          <cell r="B525" t="str">
            <v>SUPPORT PRISE SUR GOULOTTE</v>
          </cell>
          <cell r="C525" t="str">
            <v>OBS</v>
          </cell>
          <cell r="D525" t="str">
            <v>PCE</v>
          </cell>
          <cell r="E525">
            <v>50</v>
          </cell>
          <cell r="G525">
            <v>50</v>
          </cell>
          <cell r="H525">
            <v>1000</v>
          </cell>
          <cell r="I525">
            <v>50000</v>
          </cell>
          <cell r="J525" t="str">
            <v>Non</v>
          </cell>
          <cell r="K525" t="str">
            <v>Générique</v>
          </cell>
        </row>
        <row r="526">
          <cell r="A526">
            <v>32069</v>
          </cell>
          <cell r="B526" t="str">
            <v>FortiGate-40F Hardware plus 1 Year 24x7 FortiCare and FortiGuard Unif FG-40F-BDL-950-12</v>
          </cell>
          <cell r="C526" t="str">
            <v>OBS</v>
          </cell>
          <cell r="D526" t="str">
            <v>PCE</v>
          </cell>
          <cell r="E526">
            <v>9</v>
          </cell>
          <cell r="G526">
            <v>9</v>
          </cell>
          <cell r="H526">
            <v>361967.39031033003</v>
          </cell>
          <cell r="I526">
            <v>3257706.5127929701</v>
          </cell>
          <cell r="J526" t="str">
            <v>Oui</v>
          </cell>
          <cell r="K526" t="str">
            <v>Fortinet</v>
          </cell>
        </row>
        <row r="527">
          <cell r="A527">
            <v>34002</v>
          </cell>
          <cell r="B527" t="str">
            <v>ETIQUETTE RECTANGULAIRE VERTE / 100</v>
          </cell>
          <cell r="C527" t="str">
            <v>OBS</v>
          </cell>
          <cell r="D527" t="str">
            <v>PCE</v>
          </cell>
          <cell r="E527">
            <v>14</v>
          </cell>
          <cell r="G527">
            <v>14</v>
          </cell>
          <cell r="H527">
            <v>4000</v>
          </cell>
          <cell r="I527">
            <v>56000</v>
          </cell>
          <cell r="J527" t="str">
            <v>Non</v>
          </cell>
          <cell r="K527" t="str">
            <v>Générique</v>
          </cell>
        </row>
        <row r="528">
          <cell r="B528" t="str">
            <v>TOTAL</v>
          </cell>
          <cell r="I528">
            <v>1012195100.7881871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nd_gfm_43298103"/>
    </sheetNames>
    <sheetDataSet>
      <sheetData sheetId="0">
        <row r="1">
          <cell r="B1" t="str">
            <v>Article</v>
          </cell>
          <cell r="C1" t="str">
            <v>Magasin</v>
          </cell>
          <cell r="D1" t="str">
            <v>Ver.</v>
          </cell>
          <cell r="E1" t="str">
            <v>UdM</v>
          </cell>
          <cell r="F1" t="str">
            <v>Qté en stock</v>
          </cell>
        </row>
        <row r="2">
          <cell r="B2">
            <v>15</v>
          </cell>
          <cell r="C2" t="str">
            <v>RUFISQUE</v>
          </cell>
          <cell r="E2" t="str">
            <v>PCE</v>
          </cell>
          <cell r="F2">
            <v>2</v>
          </cell>
        </row>
        <row r="3">
          <cell r="B3">
            <v>18</v>
          </cell>
          <cell r="C3" t="str">
            <v>RUFISQUE</v>
          </cell>
          <cell r="E3" t="str">
            <v>PCE</v>
          </cell>
          <cell r="F3">
            <v>300</v>
          </cell>
        </row>
        <row r="4">
          <cell r="B4">
            <v>19</v>
          </cell>
          <cell r="C4" t="str">
            <v>RUFISQUE</v>
          </cell>
          <cell r="E4" t="str">
            <v>PCE</v>
          </cell>
          <cell r="F4">
            <v>13</v>
          </cell>
        </row>
        <row r="5">
          <cell r="B5">
            <v>38</v>
          </cell>
          <cell r="C5" t="str">
            <v>RUFISQUE</v>
          </cell>
          <cell r="E5" t="str">
            <v>PCE</v>
          </cell>
          <cell r="F5">
            <v>25</v>
          </cell>
        </row>
        <row r="6">
          <cell r="B6">
            <v>40</v>
          </cell>
          <cell r="C6" t="str">
            <v>RUFISQUE</v>
          </cell>
          <cell r="E6" t="str">
            <v>PCE</v>
          </cell>
          <cell r="F6">
            <v>5</v>
          </cell>
        </row>
        <row r="7">
          <cell r="B7">
            <v>42</v>
          </cell>
          <cell r="C7" t="str">
            <v>RUFISQUE</v>
          </cell>
          <cell r="E7" t="str">
            <v>PCE</v>
          </cell>
          <cell r="F7">
            <v>10</v>
          </cell>
        </row>
        <row r="8">
          <cell r="B8">
            <v>133</v>
          </cell>
          <cell r="C8" t="str">
            <v>RUFISQUE</v>
          </cell>
          <cell r="E8" t="str">
            <v>M</v>
          </cell>
          <cell r="F8">
            <v>132</v>
          </cell>
        </row>
        <row r="9">
          <cell r="B9">
            <v>174</v>
          </cell>
          <cell r="C9" t="str">
            <v>RUFISQUE</v>
          </cell>
          <cell r="E9" t="str">
            <v>M</v>
          </cell>
          <cell r="F9">
            <v>8628</v>
          </cell>
        </row>
        <row r="10">
          <cell r="B10">
            <v>181</v>
          </cell>
          <cell r="C10" t="str">
            <v>RUFISQUE</v>
          </cell>
          <cell r="E10" t="str">
            <v>M</v>
          </cell>
          <cell r="F10">
            <v>194</v>
          </cell>
        </row>
        <row r="11">
          <cell r="B11">
            <v>192</v>
          </cell>
          <cell r="C11" t="str">
            <v>RUFISQUE</v>
          </cell>
          <cell r="E11" t="str">
            <v>M</v>
          </cell>
          <cell r="F11">
            <v>214</v>
          </cell>
        </row>
        <row r="12">
          <cell r="B12">
            <v>236</v>
          </cell>
          <cell r="C12" t="str">
            <v>RUFISQUE</v>
          </cell>
          <cell r="E12" t="str">
            <v>PCE</v>
          </cell>
          <cell r="F12">
            <v>2900</v>
          </cell>
        </row>
        <row r="13">
          <cell r="B13">
            <v>251</v>
          </cell>
          <cell r="C13" t="str">
            <v>RUFISQUE</v>
          </cell>
          <cell r="E13" t="str">
            <v>PCE</v>
          </cell>
          <cell r="F13">
            <v>1934</v>
          </cell>
        </row>
        <row r="14">
          <cell r="B14">
            <v>258</v>
          </cell>
          <cell r="C14" t="str">
            <v>RUFISQUE</v>
          </cell>
          <cell r="E14" t="str">
            <v>PCE</v>
          </cell>
          <cell r="F14">
            <v>5643</v>
          </cell>
        </row>
        <row r="15">
          <cell r="B15">
            <v>259</v>
          </cell>
          <cell r="C15" t="str">
            <v>RUFISQUE</v>
          </cell>
          <cell r="E15" t="str">
            <v>PCE</v>
          </cell>
          <cell r="F15">
            <v>5000</v>
          </cell>
        </row>
        <row r="16">
          <cell r="B16">
            <v>304</v>
          </cell>
          <cell r="C16" t="str">
            <v>RUFISQUE</v>
          </cell>
          <cell r="E16" t="str">
            <v>PCE</v>
          </cell>
          <cell r="F16">
            <v>5191</v>
          </cell>
        </row>
        <row r="17">
          <cell r="B17">
            <v>307</v>
          </cell>
          <cell r="C17" t="str">
            <v>RUFISQUE</v>
          </cell>
          <cell r="E17" t="str">
            <v>PCE</v>
          </cell>
          <cell r="F17">
            <v>27</v>
          </cell>
        </row>
        <row r="18">
          <cell r="B18">
            <v>361</v>
          </cell>
          <cell r="C18" t="str">
            <v>RUFISQUE</v>
          </cell>
          <cell r="E18" t="str">
            <v>PCE</v>
          </cell>
          <cell r="F18">
            <v>1475</v>
          </cell>
        </row>
        <row r="19">
          <cell r="B19">
            <v>368</v>
          </cell>
          <cell r="C19" t="str">
            <v>RUFISQUE</v>
          </cell>
          <cell r="E19" t="str">
            <v>PCE</v>
          </cell>
          <cell r="F19">
            <v>47</v>
          </cell>
        </row>
        <row r="20">
          <cell r="B20">
            <v>377</v>
          </cell>
          <cell r="C20" t="str">
            <v>RUFISQUE</v>
          </cell>
          <cell r="E20" t="str">
            <v>PCE</v>
          </cell>
          <cell r="F20">
            <v>134</v>
          </cell>
        </row>
        <row r="21">
          <cell r="B21">
            <v>379</v>
          </cell>
          <cell r="C21" t="str">
            <v>RUFISQUE</v>
          </cell>
          <cell r="E21" t="str">
            <v>PCE</v>
          </cell>
          <cell r="F21">
            <v>64</v>
          </cell>
        </row>
        <row r="22">
          <cell r="B22">
            <v>381</v>
          </cell>
          <cell r="C22" t="str">
            <v>RUFISQUE</v>
          </cell>
          <cell r="E22" t="str">
            <v>PCE</v>
          </cell>
          <cell r="F22">
            <v>321</v>
          </cell>
        </row>
        <row r="23">
          <cell r="B23">
            <v>527</v>
          </cell>
          <cell r="C23" t="str">
            <v>RUFISQUE</v>
          </cell>
          <cell r="E23" t="str">
            <v>PCE</v>
          </cell>
          <cell r="F23">
            <v>1872</v>
          </cell>
        </row>
        <row r="24">
          <cell r="B24">
            <v>540</v>
          </cell>
          <cell r="C24" t="str">
            <v>RUFISQUE</v>
          </cell>
          <cell r="E24" t="str">
            <v>PCE</v>
          </cell>
          <cell r="F24">
            <v>21</v>
          </cell>
        </row>
        <row r="25">
          <cell r="B25">
            <v>1463</v>
          </cell>
          <cell r="C25" t="str">
            <v>RUFISQUE</v>
          </cell>
          <cell r="E25" t="str">
            <v>PCE</v>
          </cell>
          <cell r="F25">
            <v>24</v>
          </cell>
        </row>
        <row r="26">
          <cell r="B26">
            <v>1505</v>
          </cell>
          <cell r="C26" t="str">
            <v>RUFISQUE</v>
          </cell>
          <cell r="E26" t="str">
            <v>PCE</v>
          </cell>
          <cell r="F26">
            <v>6</v>
          </cell>
        </row>
        <row r="27">
          <cell r="B27">
            <v>1509</v>
          </cell>
          <cell r="C27" t="str">
            <v>RUFISQUE</v>
          </cell>
          <cell r="E27" t="str">
            <v>PCE</v>
          </cell>
          <cell r="F27">
            <v>1</v>
          </cell>
        </row>
        <row r="28">
          <cell r="B28">
            <v>1655</v>
          </cell>
          <cell r="C28" t="str">
            <v>RUFISQUE</v>
          </cell>
          <cell r="E28" t="str">
            <v>PCE</v>
          </cell>
          <cell r="F28">
            <v>100</v>
          </cell>
        </row>
        <row r="29">
          <cell r="B29">
            <v>1737</v>
          </cell>
          <cell r="C29" t="str">
            <v>RUFISQUE</v>
          </cell>
          <cell r="E29" t="str">
            <v>PCE</v>
          </cell>
          <cell r="F29">
            <v>75</v>
          </cell>
        </row>
        <row r="30">
          <cell r="B30">
            <v>1935</v>
          </cell>
          <cell r="C30" t="str">
            <v>RUFISQUE</v>
          </cell>
          <cell r="E30" t="str">
            <v>PCE</v>
          </cell>
          <cell r="F30">
            <v>50</v>
          </cell>
        </row>
        <row r="31">
          <cell r="B31">
            <v>1948</v>
          </cell>
          <cell r="C31" t="str">
            <v>RUFISQUE</v>
          </cell>
          <cell r="E31" t="str">
            <v>PCE</v>
          </cell>
          <cell r="F31">
            <v>3</v>
          </cell>
        </row>
        <row r="32">
          <cell r="B32">
            <v>1963</v>
          </cell>
          <cell r="C32" t="str">
            <v>RUFISQUE</v>
          </cell>
          <cell r="E32" t="str">
            <v>PCE</v>
          </cell>
          <cell r="F32">
            <v>2267</v>
          </cell>
        </row>
        <row r="33">
          <cell r="B33">
            <v>1965</v>
          </cell>
          <cell r="C33" t="str">
            <v>RUFISQUE</v>
          </cell>
          <cell r="E33" t="str">
            <v>PCE</v>
          </cell>
          <cell r="F33">
            <v>13</v>
          </cell>
        </row>
        <row r="34">
          <cell r="B34">
            <v>1967</v>
          </cell>
          <cell r="C34" t="str">
            <v>RUFISQUE</v>
          </cell>
          <cell r="E34" t="str">
            <v>PCE</v>
          </cell>
          <cell r="F34">
            <v>5</v>
          </cell>
        </row>
        <row r="35">
          <cell r="B35">
            <v>1968</v>
          </cell>
          <cell r="C35" t="str">
            <v>RUFISQUE</v>
          </cell>
          <cell r="E35" t="str">
            <v>PCE</v>
          </cell>
          <cell r="F35">
            <v>1</v>
          </cell>
        </row>
        <row r="36">
          <cell r="B36">
            <v>1974</v>
          </cell>
          <cell r="C36" t="str">
            <v>RUFISQUE</v>
          </cell>
          <cell r="E36" t="str">
            <v>PCE</v>
          </cell>
          <cell r="F36">
            <v>22</v>
          </cell>
        </row>
        <row r="37">
          <cell r="B37">
            <v>1978</v>
          </cell>
          <cell r="C37" t="str">
            <v>RUFISQUE</v>
          </cell>
          <cell r="E37" t="str">
            <v>PCE</v>
          </cell>
          <cell r="F37">
            <v>3415</v>
          </cell>
        </row>
        <row r="38">
          <cell r="B38">
            <v>2010</v>
          </cell>
          <cell r="C38" t="str">
            <v>RUFISQUE</v>
          </cell>
          <cell r="E38" t="str">
            <v>PCE</v>
          </cell>
          <cell r="F38">
            <v>3</v>
          </cell>
        </row>
        <row r="39">
          <cell r="B39">
            <v>2018</v>
          </cell>
          <cell r="C39" t="str">
            <v>RUFISQUE</v>
          </cell>
          <cell r="E39" t="str">
            <v>PCE</v>
          </cell>
          <cell r="F39">
            <v>312</v>
          </cell>
        </row>
        <row r="40">
          <cell r="B40">
            <v>2026</v>
          </cell>
          <cell r="C40" t="str">
            <v>RUFISQUE</v>
          </cell>
          <cell r="E40" t="str">
            <v>PCE</v>
          </cell>
          <cell r="F40">
            <v>2</v>
          </cell>
        </row>
        <row r="41">
          <cell r="B41">
            <v>2031</v>
          </cell>
          <cell r="C41" t="str">
            <v>RUFISQUE</v>
          </cell>
          <cell r="E41" t="str">
            <v>PCE</v>
          </cell>
          <cell r="F41">
            <v>250</v>
          </cell>
        </row>
        <row r="42">
          <cell r="B42">
            <v>2042</v>
          </cell>
          <cell r="C42" t="str">
            <v>RUFISQUE</v>
          </cell>
          <cell r="E42" t="str">
            <v>PCE</v>
          </cell>
          <cell r="F42">
            <v>175</v>
          </cell>
        </row>
        <row r="43">
          <cell r="B43">
            <v>2048</v>
          </cell>
          <cell r="C43" t="str">
            <v>RUFISQUE</v>
          </cell>
          <cell r="E43" t="str">
            <v>PCE</v>
          </cell>
          <cell r="F43">
            <v>1</v>
          </cell>
        </row>
        <row r="44">
          <cell r="B44">
            <v>2057</v>
          </cell>
          <cell r="C44" t="str">
            <v>RUFISQUE</v>
          </cell>
          <cell r="E44" t="str">
            <v>PCE</v>
          </cell>
          <cell r="F44">
            <v>10</v>
          </cell>
        </row>
        <row r="45">
          <cell r="B45">
            <v>2082</v>
          </cell>
          <cell r="C45" t="str">
            <v>RUFISQUE</v>
          </cell>
          <cell r="E45" t="str">
            <v>PCE</v>
          </cell>
          <cell r="F45">
            <v>1</v>
          </cell>
        </row>
        <row r="46">
          <cell r="B46">
            <v>2087</v>
          </cell>
          <cell r="C46" t="str">
            <v>RUFISQUE</v>
          </cell>
          <cell r="E46" t="str">
            <v>PCE</v>
          </cell>
          <cell r="F46">
            <v>278</v>
          </cell>
        </row>
        <row r="47">
          <cell r="B47">
            <v>2103</v>
          </cell>
          <cell r="C47" t="str">
            <v>RUFISQUE</v>
          </cell>
          <cell r="E47" t="str">
            <v>PCE</v>
          </cell>
          <cell r="F47">
            <v>43</v>
          </cell>
        </row>
        <row r="48">
          <cell r="B48">
            <v>2105</v>
          </cell>
          <cell r="C48" t="str">
            <v>RUFISQUE</v>
          </cell>
          <cell r="E48" t="str">
            <v>PCE</v>
          </cell>
          <cell r="F48">
            <v>23</v>
          </cell>
        </row>
        <row r="49">
          <cell r="B49">
            <v>2111</v>
          </cell>
          <cell r="C49" t="str">
            <v>RUFISQUE</v>
          </cell>
          <cell r="E49" t="str">
            <v>PCE</v>
          </cell>
          <cell r="F49">
            <v>9</v>
          </cell>
        </row>
        <row r="50">
          <cell r="B50">
            <v>2112</v>
          </cell>
          <cell r="C50" t="str">
            <v>RUFISQUE</v>
          </cell>
          <cell r="E50" t="str">
            <v>PCE</v>
          </cell>
          <cell r="F50">
            <v>5</v>
          </cell>
        </row>
        <row r="51">
          <cell r="B51">
            <v>2120</v>
          </cell>
          <cell r="C51" t="str">
            <v>RUFISQUE</v>
          </cell>
          <cell r="E51" t="str">
            <v>PCE</v>
          </cell>
          <cell r="F51">
            <v>900</v>
          </cell>
        </row>
        <row r="52">
          <cell r="B52">
            <v>2121</v>
          </cell>
          <cell r="C52" t="str">
            <v>RUFISQUE</v>
          </cell>
          <cell r="E52" t="str">
            <v>PCE</v>
          </cell>
          <cell r="F52">
            <v>13</v>
          </cell>
        </row>
        <row r="53">
          <cell r="B53">
            <v>2127</v>
          </cell>
          <cell r="C53" t="str">
            <v>RUFISQUE</v>
          </cell>
          <cell r="E53" t="str">
            <v>PCE</v>
          </cell>
          <cell r="F53">
            <v>49</v>
          </cell>
        </row>
        <row r="54">
          <cell r="B54">
            <v>2129</v>
          </cell>
          <cell r="C54" t="str">
            <v>RUFISQUE</v>
          </cell>
          <cell r="E54" t="str">
            <v>PCE</v>
          </cell>
          <cell r="F54">
            <v>42</v>
          </cell>
        </row>
        <row r="55">
          <cell r="B55">
            <v>2132</v>
          </cell>
          <cell r="C55" t="str">
            <v>RUFISQUE</v>
          </cell>
          <cell r="E55" t="str">
            <v>PCE</v>
          </cell>
          <cell r="F55">
            <v>13</v>
          </cell>
        </row>
        <row r="56">
          <cell r="B56">
            <v>2133</v>
          </cell>
          <cell r="C56" t="str">
            <v>RUFISQUE</v>
          </cell>
          <cell r="E56" t="str">
            <v>PCE</v>
          </cell>
          <cell r="F56">
            <v>74</v>
          </cell>
        </row>
        <row r="57">
          <cell r="B57">
            <v>2137</v>
          </cell>
          <cell r="C57" t="str">
            <v>RUFISQUE</v>
          </cell>
          <cell r="E57" t="str">
            <v>PCE</v>
          </cell>
          <cell r="F57">
            <v>131</v>
          </cell>
        </row>
        <row r="58">
          <cell r="B58">
            <v>2140</v>
          </cell>
          <cell r="C58" t="str">
            <v>RUFISQUE</v>
          </cell>
          <cell r="E58" t="str">
            <v>PCE</v>
          </cell>
          <cell r="F58">
            <v>2</v>
          </cell>
        </row>
        <row r="59">
          <cell r="B59">
            <v>2141</v>
          </cell>
          <cell r="C59" t="str">
            <v>RUFISQUE</v>
          </cell>
          <cell r="E59" t="str">
            <v>PCE</v>
          </cell>
          <cell r="F59">
            <v>3</v>
          </cell>
        </row>
        <row r="60">
          <cell r="B60">
            <v>2142</v>
          </cell>
          <cell r="C60" t="str">
            <v>RUFISQUE</v>
          </cell>
          <cell r="E60" t="str">
            <v>PCE</v>
          </cell>
          <cell r="F60">
            <v>20</v>
          </cell>
        </row>
        <row r="61">
          <cell r="B61">
            <v>2150</v>
          </cell>
          <cell r="C61" t="str">
            <v>RUFISQUE</v>
          </cell>
          <cell r="E61" t="str">
            <v>PCE</v>
          </cell>
          <cell r="F61">
            <v>6</v>
          </cell>
        </row>
        <row r="62">
          <cell r="B62">
            <v>2151</v>
          </cell>
          <cell r="C62" t="str">
            <v>RUFISQUE</v>
          </cell>
          <cell r="E62" t="str">
            <v>PCE</v>
          </cell>
          <cell r="F62">
            <v>74</v>
          </cell>
        </row>
        <row r="63">
          <cell r="B63">
            <v>2154</v>
          </cell>
          <cell r="C63" t="str">
            <v>RUFISQUE</v>
          </cell>
          <cell r="E63" t="str">
            <v>PCE</v>
          </cell>
          <cell r="F63">
            <v>4</v>
          </cell>
        </row>
        <row r="64">
          <cell r="B64">
            <v>2161</v>
          </cell>
          <cell r="C64" t="str">
            <v>RUFISQUE</v>
          </cell>
          <cell r="E64" t="str">
            <v>PCE</v>
          </cell>
          <cell r="F64">
            <v>90</v>
          </cell>
        </row>
        <row r="65">
          <cell r="B65">
            <v>2170</v>
          </cell>
          <cell r="C65" t="str">
            <v>RUFISQUE</v>
          </cell>
          <cell r="E65" t="str">
            <v>PCE</v>
          </cell>
          <cell r="F65">
            <v>56</v>
          </cell>
        </row>
        <row r="66">
          <cell r="B66">
            <v>2205</v>
          </cell>
          <cell r="C66" t="str">
            <v>RUFISQUE</v>
          </cell>
          <cell r="E66" t="str">
            <v>PCE</v>
          </cell>
          <cell r="F66">
            <v>396</v>
          </cell>
        </row>
        <row r="67">
          <cell r="B67">
            <v>2208</v>
          </cell>
          <cell r="C67" t="str">
            <v>RUFISQUE</v>
          </cell>
          <cell r="E67" t="str">
            <v>M</v>
          </cell>
          <cell r="F67">
            <v>114</v>
          </cell>
        </row>
        <row r="68">
          <cell r="B68">
            <v>2213</v>
          </cell>
          <cell r="C68" t="str">
            <v>RUFISQUE</v>
          </cell>
          <cell r="E68" t="str">
            <v>M</v>
          </cell>
          <cell r="F68">
            <v>640</v>
          </cell>
        </row>
        <row r="69">
          <cell r="B69">
            <v>2215</v>
          </cell>
          <cell r="C69" t="str">
            <v>RUFISQUE</v>
          </cell>
          <cell r="E69" t="str">
            <v>PCE</v>
          </cell>
          <cell r="F69">
            <v>2</v>
          </cell>
        </row>
        <row r="70">
          <cell r="B70">
            <v>2218</v>
          </cell>
          <cell r="C70" t="str">
            <v>RUFISQUE</v>
          </cell>
          <cell r="E70" t="str">
            <v>M</v>
          </cell>
          <cell r="F70">
            <v>75</v>
          </cell>
        </row>
        <row r="71">
          <cell r="B71">
            <v>2227</v>
          </cell>
          <cell r="C71" t="str">
            <v>RUFISQUE</v>
          </cell>
          <cell r="E71" t="str">
            <v>M</v>
          </cell>
          <cell r="F71">
            <v>41</v>
          </cell>
        </row>
        <row r="72">
          <cell r="B72">
            <v>2231</v>
          </cell>
          <cell r="C72" t="str">
            <v>RUFISQUE</v>
          </cell>
          <cell r="E72" t="str">
            <v>PCE</v>
          </cell>
          <cell r="F72">
            <v>2</v>
          </cell>
        </row>
        <row r="73">
          <cell r="B73">
            <v>2243</v>
          </cell>
          <cell r="C73" t="str">
            <v>RUFISQUE</v>
          </cell>
          <cell r="E73" t="str">
            <v>PCE</v>
          </cell>
          <cell r="F73">
            <v>38</v>
          </cell>
        </row>
        <row r="74">
          <cell r="B74">
            <v>2248</v>
          </cell>
          <cell r="C74" t="str">
            <v>RUFISQUE</v>
          </cell>
          <cell r="E74" t="str">
            <v>PCE</v>
          </cell>
          <cell r="F74">
            <v>730</v>
          </cell>
        </row>
        <row r="75">
          <cell r="B75">
            <v>2249</v>
          </cell>
          <cell r="C75" t="str">
            <v>RUFISQUE</v>
          </cell>
          <cell r="E75" t="str">
            <v>PCE</v>
          </cell>
          <cell r="F75">
            <v>3403</v>
          </cell>
        </row>
        <row r="76">
          <cell r="B76">
            <v>2259</v>
          </cell>
          <cell r="C76" t="str">
            <v>RUFISQUE</v>
          </cell>
          <cell r="E76" t="str">
            <v>PCE</v>
          </cell>
          <cell r="F76">
            <v>29</v>
          </cell>
        </row>
        <row r="77">
          <cell r="B77">
            <v>2262</v>
          </cell>
          <cell r="C77" t="str">
            <v>RUFISQUE</v>
          </cell>
          <cell r="E77" t="str">
            <v>PCE</v>
          </cell>
          <cell r="F77">
            <v>1</v>
          </cell>
        </row>
        <row r="78">
          <cell r="B78">
            <v>2281</v>
          </cell>
          <cell r="C78" t="str">
            <v>RUFISQUE</v>
          </cell>
          <cell r="E78" t="str">
            <v>PCE</v>
          </cell>
          <cell r="F78">
            <v>1</v>
          </cell>
        </row>
        <row r="79">
          <cell r="B79">
            <v>2282</v>
          </cell>
          <cell r="C79" t="str">
            <v>RUFISQUE</v>
          </cell>
          <cell r="E79" t="str">
            <v>PCE</v>
          </cell>
          <cell r="F79">
            <v>34</v>
          </cell>
        </row>
        <row r="80">
          <cell r="B80">
            <v>2284</v>
          </cell>
          <cell r="C80" t="str">
            <v>RUFISQUE</v>
          </cell>
          <cell r="E80" t="str">
            <v>PCE</v>
          </cell>
          <cell r="F80">
            <v>7</v>
          </cell>
        </row>
        <row r="81">
          <cell r="B81">
            <v>2286</v>
          </cell>
          <cell r="C81" t="str">
            <v>RUFISQUE</v>
          </cell>
          <cell r="E81" t="str">
            <v>PCE</v>
          </cell>
          <cell r="F81">
            <v>16</v>
          </cell>
        </row>
        <row r="82">
          <cell r="B82">
            <v>2288</v>
          </cell>
          <cell r="C82" t="str">
            <v>RUFISQUE</v>
          </cell>
          <cell r="E82" t="str">
            <v>PCE</v>
          </cell>
          <cell r="F82">
            <v>12</v>
          </cell>
        </row>
        <row r="83">
          <cell r="B83">
            <v>2289</v>
          </cell>
          <cell r="C83" t="str">
            <v>RUFISQUE</v>
          </cell>
          <cell r="E83" t="str">
            <v>PCE</v>
          </cell>
          <cell r="F83">
            <v>7</v>
          </cell>
        </row>
        <row r="84">
          <cell r="B84">
            <v>2292</v>
          </cell>
          <cell r="C84" t="str">
            <v>RUFISQUE</v>
          </cell>
          <cell r="E84" t="str">
            <v>PCE</v>
          </cell>
          <cell r="F84">
            <v>1</v>
          </cell>
        </row>
        <row r="85">
          <cell r="B85">
            <v>2297</v>
          </cell>
          <cell r="C85" t="str">
            <v>RUFISQUE</v>
          </cell>
          <cell r="E85" t="str">
            <v>PCE</v>
          </cell>
          <cell r="F85">
            <v>10</v>
          </cell>
        </row>
        <row r="86">
          <cell r="B86">
            <v>2327</v>
          </cell>
          <cell r="C86" t="str">
            <v>RUFISQUE</v>
          </cell>
          <cell r="E86" t="str">
            <v>PCE</v>
          </cell>
          <cell r="F86">
            <v>4</v>
          </cell>
        </row>
        <row r="87">
          <cell r="B87">
            <v>2347</v>
          </cell>
          <cell r="C87" t="str">
            <v>RUFISQUE</v>
          </cell>
          <cell r="E87" t="str">
            <v>PCE</v>
          </cell>
          <cell r="F87">
            <v>21</v>
          </cell>
        </row>
        <row r="88">
          <cell r="B88">
            <v>2349</v>
          </cell>
          <cell r="C88" t="str">
            <v>RUFISQUE</v>
          </cell>
          <cell r="E88" t="str">
            <v>PCE</v>
          </cell>
          <cell r="F88">
            <v>14</v>
          </cell>
        </row>
        <row r="89">
          <cell r="B89">
            <v>2366</v>
          </cell>
          <cell r="C89" t="str">
            <v>RUFISQUE</v>
          </cell>
          <cell r="E89" t="str">
            <v>PCE</v>
          </cell>
          <cell r="F89">
            <v>18</v>
          </cell>
        </row>
        <row r="90">
          <cell r="B90">
            <v>2371</v>
          </cell>
          <cell r="C90" t="str">
            <v>RUFISQUE</v>
          </cell>
          <cell r="E90" t="str">
            <v>M</v>
          </cell>
          <cell r="F90">
            <v>5185</v>
          </cell>
        </row>
        <row r="91">
          <cell r="B91">
            <v>2390</v>
          </cell>
          <cell r="C91" t="str">
            <v>RUFISQUE</v>
          </cell>
          <cell r="E91" t="str">
            <v>PCE</v>
          </cell>
          <cell r="F91">
            <v>3</v>
          </cell>
        </row>
        <row r="92">
          <cell r="B92">
            <v>2408</v>
          </cell>
          <cell r="C92" t="str">
            <v>RUFISQUE</v>
          </cell>
          <cell r="E92" t="str">
            <v>PCE</v>
          </cell>
          <cell r="F92">
            <v>3</v>
          </cell>
        </row>
        <row r="93">
          <cell r="B93">
            <v>2454</v>
          </cell>
          <cell r="C93" t="str">
            <v>RUFISQUE</v>
          </cell>
          <cell r="E93" t="str">
            <v>U</v>
          </cell>
          <cell r="F93">
            <v>168</v>
          </cell>
        </row>
        <row r="94">
          <cell r="B94">
            <v>2455</v>
          </cell>
          <cell r="C94" t="str">
            <v>RUFISQUE</v>
          </cell>
          <cell r="E94" t="str">
            <v>U</v>
          </cell>
          <cell r="F94">
            <v>50</v>
          </cell>
        </row>
        <row r="95">
          <cell r="B95">
            <v>2460</v>
          </cell>
          <cell r="C95" t="str">
            <v>RUFISQUE</v>
          </cell>
          <cell r="E95" t="str">
            <v>U</v>
          </cell>
          <cell r="F95">
            <v>18</v>
          </cell>
        </row>
        <row r="96">
          <cell r="B96">
            <v>2462</v>
          </cell>
          <cell r="C96" t="str">
            <v>RUFISQUE</v>
          </cell>
          <cell r="E96" t="str">
            <v>U</v>
          </cell>
          <cell r="F96">
            <v>4</v>
          </cell>
        </row>
        <row r="97">
          <cell r="B97">
            <v>2463</v>
          </cell>
          <cell r="C97" t="str">
            <v>RUFISQUE</v>
          </cell>
          <cell r="E97" t="str">
            <v>U</v>
          </cell>
          <cell r="F97">
            <v>341</v>
          </cell>
        </row>
        <row r="98">
          <cell r="B98">
            <v>2464</v>
          </cell>
          <cell r="C98" t="str">
            <v>RUFISQUE</v>
          </cell>
          <cell r="E98" t="str">
            <v>U</v>
          </cell>
          <cell r="F98">
            <v>170</v>
          </cell>
        </row>
        <row r="99">
          <cell r="B99">
            <v>2465</v>
          </cell>
          <cell r="C99" t="str">
            <v>RUFISQUE</v>
          </cell>
          <cell r="E99" t="str">
            <v>U</v>
          </cell>
          <cell r="F99">
            <v>58</v>
          </cell>
        </row>
        <row r="100">
          <cell r="B100">
            <v>2466</v>
          </cell>
          <cell r="C100" t="str">
            <v>RUFISQUE</v>
          </cell>
          <cell r="E100" t="str">
            <v>U</v>
          </cell>
          <cell r="F100">
            <v>34</v>
          </cell>
        </row>
        <row r="101">
          <cell r="B101">
            <v>2468</v>
          </cell>
          <cell r="C101" t="str">
            <v>RUFISQUE</v>
          </cell>
          <cell r="E101" t="str">
            <v>U</v>
          </cell>
          <cell r="F101">
            <v>54</v>
          </cell>
        </row>
        <row r="102">
          <cell r="B102">
            <v>2474</v>
          </cell>
          <cell r="C102" t="str">
            <v>RUFISQUE</v>
          </cell>
          <cell r="E102" t="str">
            <v>U</v>
          </cell>
          <cell r="F102">
            <v>162</v>
          </cell>
        </row>
        <row r="103">
          <cell r="B103">
            <v>2478</v>
          </cell>
          <cell r="C103" t="str">
            <v>RUFISQUE</v>
          </cell>
          <cell r="E103" t="str">
            <v>U</v>
          </cell>
          <cell r="F103">
            <v>106</v>
          </cell>
        </row>
        <row r="104">
          <cell r="B104">
            <v>2480</v>
          </cell>
          <cell r="C104" t="str">
            <v>RUFISQUE</v>
          </cell>
          <cell r="E104" t="str">
            <v>M</v>
          </cell>
          <cell r="F104">
            <v>500</v>
          </cell>
        </row>
        <row r="105">
          <cell r="B105">
            <v>2481</v>
          </cell>
          <cell r="C105" t="str">
            <v>RUFISQUE</v>
          </cell>
          <cell r="E105" t="str">
            <v>M</v>
          </cell>
          <cell r="F105">
            <v>76</v>
          </cell>
        </row>
        <row r="106">
          <cell r="B106">
            <v>2482</v>
          </cell>
          <cell r="C106" t="str">
            <v>RUFISQUE</v>
          </cell>
          <cell r="E106" t="str">
            <v>M</v>
          </cell>
          <cell r="F106">
            <v>2027</v>
          </cell>
        </row>
        <row r="107">
          <cell r="B107">
            <v>2484</v>
          </cell>
          <cell r="C107" t="str">
            <v>RUFISQUE</v>
          </cell>
          <cell r="E107" t="str">
            <v>M</v>
          </cell>
          <cell r="F107">
            <v>286</v>
          </cell>
        </row>
        <row r="108">
          <cell r="B108">
            <v>2488</v>
          </cell>
          <cell r="C108" t="str">
            <v>RUFISQUE</v>
          </cell>
          <cell r="E108" t="str">
            <v>M</v>
          </cell>
          <cell r="F108">
            <v>584</v>
          </cell>
        </row>
        <row r="109">
          <cell r="B109">
            <v>2490</v>
          </cell>
          <cell r="C109" t="str">
            <v>RUFISQUE</v>
          </cell>
          <cell r="E109" t="str">
            <v>U</v>
          </cell>
          <cell r="F109">
            <v>11</v>
          </cell>
        </row>
        <row r="110">
          <cell r="B110">
            <v>2495</v>
          </cell>
          <cell r="C110" t="str">
            <v>RUFISQUE</v>
          </cell>
          <cell r="E110" t="str">
            <v>U</v>
          </cell>
          <cell r="F110">
            <v>15</v>
          </cell>
        </row>
        <row r="111">
          <cell r="B111">
            <v>2496</v>
          </cell>
          <cell r="C111" t="str">
            <v>RUFISQUE</v>
          </cell>
          <cell r="E111" t="str">
            <v>U</v>
          </cell>
          <cell r="F111">
            <v>9</v>
          </cell>
        </row>
        <row r="112">
          <cell r="B112">
            <v>2501</v>
          </cell>
          <cell r="C112" t="str">
            <v>RUFISQUE</v>
          </cell>
          <cell r="E112" t="str">
            <v>U</v>
          </cell>
          <cell r="F112">
            <v>1</v>
          </cell>
        </row>
        <row r="113">
          <cell r="B113">
            <v>2514</v>
          </cell>
          <cell r="C113" t="str">
            <v>RUFISQUE</v>
          </cell>
          <cell r="E113" t="str">
            <v>U</v>
          </cell>
          <cell r="F113">
            <v>1</v>
          </cell>
        </row>
        <row r="114">
          <cell r="B114">
            <v>2516</v>
          </cell>
          <cell r="C114" t="str">
            <v>RUFISQUE</v>
          </cell>
          <cell r="E114" t="str">
            <v>U</v>
          </cell>
          <cell r="F114">
            <v>4</v>
          </cell>
        </row>
        <row r="115">
          <cell r="B115">
            <v>2518</v>
          </cell>
          <cell r="C115" t="str">
            <v>RUFISQUE</v>
          </cell>
          <cell r="E115" t="str">
            <v>U</v>
          </cell>
          <cell r="F115">
            <v>20</v>
          </cell>
        </row>
        <row r="116">
          <cell r="B116">
            <v>2522</v>
          </cell>
          <cell r="C116" t="str">
            <v>RUFISQUE</v>
          </cell>
          <cell r="E116" t="str">
            <v>U</v>
          </cell>
          <cell r="F116">
            <v>8</v>
          </cell>
        </row>
        <row r="117">
          <cell r="B117">
            <v>2526</v>
          </cell>
          <cell r="C117" t="str">
            <v>RUFISQUE</v>
          </cell>
          <cell r="E117" t="str">
            <v>U</v>
          </cell>
          <cell r="F117">
            <v>2</v>
          </cell>
        </row>
        <row r="118">
          <cell r="B118">
            <v>2527</v>
          </cell>
          <cell r="C118" t="str">
            <v>RUFISQUE</v>
          </cell>
          <cell r="E118" t="str">
            <v>U</v>
          </cell>
          <cell r="F118">
            <v>45</v>
          </cell>
        </row>
        <row r="119">
          <cell r="B119">
            <v>2537</v>
          </cell>
          <cell r="C119" t="str">
            <v>RUFISQUE</v>
          </cell>
          <cell r="E119" t="str">
            <v>U</v>
          </cell>
          <cell r="F119">
            <v>3</v>
          </cell>
        </row>
        <row r="120">
          <cell r="B120">
            <v>2538</v>
          </cell>
          <cell r="C120" t="str">
            <v>RUFISQUE</v>
          </cell>
          <cell r="E120" t="str">
            <v>U</v>
          </cell>
          <cell r="F120">
            <v>50</v>
          </cell>
        </row>
        <row r="121">
          <cell r="B121">
            <v>2539</v>
          </cell>
          <cell r="C121" t="str">
            <v>RUFISQUE</v>
          </cell>
          <cell r="E121" t="str">
            <v>U</v>
          </cell>
          <cell r="F121">
            <v>5</v>
          </cell>
        </row>
        <row r="122">
          <cell r="B122">
            <v>2540</v>
          </cell>
          <cell r="C122" t="str">
            <v>RUFISQUE</v>
          </cell>
          <cell r="E122" t="str">
            <v>U</v>
          </cell>
          <cell r="F122">
            <v>2</v>
          </cell>
        </row>
        <row r="123">
          <cell r="B123">
            <v>2542</v>
          </cell>
          <cell r="C123" t="str">
            <v>RUFISQUE</v>
          </cell>
          <cell r="E123" t="str">
            <v>U</v>
          </cell>
          <cell r="F123">
            <v>1</v>
          </cell>
        </row>
        <row r="124">
          <cell r="B124">
            <v>2543</v>
          </cell>
          <cell r="C124" t="str">
            <v>RUFISQUE</v>
          </cell>
          <cell r="E124" t="str">
            <v>U</v>
          </cell>
          <cell r="F124">
            <v>2</v>
          </cell>
        </row>
        <row r="125">
          <cell r="B125">
            <v>2547</v>
          </cell>
          <cell r="C125" t="str">
            <v>RUFISQUE</v>
          </cell>
          <cell r="E125" t="str">
            <v>U</v>
          </cell>
          <cell r="F125">
            <v>14</v>
          </cell>
        </row>
        <row r="126">
          <cell r="B126">
            <v>2549</v>
          </cell>
          <cell r="C126" t="str">
            <v>RUFISQUE</v>
          </cell>
          <cell r="E126" t="str">
            <v>U</v>
          </cell>
          <cell r="F126">
            <v>128</v>
          </cell>
        </row>
        <row r="127">
          <cell r="B127">
            <v>2553</v>
          </cell>
          <cell r="C127" t="str">
            <v>RUFISQUE</v>
          </cell>
          <cell r="E127" t="str">
            <v>U</v>
          </cell>
          <cell r="F127">
            <v>8</v>
          </cell>
        </row>
        <row r="128">
          <cell r="B128">
            <v>2555</v>
          </cell>
          <cell r="C128" t="str">
            <v>RUFISQUE</v>
          </cell>
          <cell r="E128" t="str">
            <v>U</v>
          </cell>
          <cell r="F128">
            <v>9</v>
          </cell>
        </row>
        <row r="129">
          <cell r="B129">
            <v>2560</v>
          </cell>
          <cell r="C129" t="str">
            <v>RUFISQUE</v>
          </cell>
          <cell r="E129" t="str">
            <v>U</v>
          </cell>
          <cell r="F129">
            <v>260</v>
          </cell>
        </row>
        <row r="130">
          <cell r="B130">
            <v>2562</v>
          </cell>
          <cell r="C130" t="str">
            <v>RUFISQUE</v>
          </cell>
          <cell r="E130" t="str">
            <v>U</v>
          </cell>
          <cell r="F130">
            <v>23</v>
          </cell>
        </row>
        <row r="131">
          <cell r="B131">
            <v>2564</v>
          </cell>
          <cell r="C131" t="str">
            <v>RUFISQUE</v>
          </cell>
          <cell r="E131" t="str">
            <v>U</v>
          </cell>
          <cell r="F131">
            <v>12</v>
          </cell>
        </row>
        <row r="132">
          <cell r="B132">
            <v>2569</v>
          </cell>
          <cell r="C132" t="str">
            <v>RUFISQUE</v>
          </cell>
          <cell r="E132" t="str">
            <v>U</v>
          </cell>
          <cell r="F132">
            <v>35</v>
          </cell>
        </row>
        <row r="133">
          <cell r="B133">
            <v>2570</v>
          </cell>
          <cell r="C133" t="str">
            <v>RUFISQUE</v>
          </cell>
          <cell r="E133" t="str">
            <v>U</v>
          </cell>
          <cell r="F133">
            <v>27</v>
          </cell>
        </row>
        <row r="134">
          <cell r="B134">
            <v>2571</v>
          </cell>
          <cell r="C134" t="str">
            <v>RUFISQUE</v>
          </cell>
          <cell r="E134" t="str">
            <v>U</v>
          </cell>
          <cell r="F134">
            <v>5</v>
          </cell>
        </row>
        <row r="135">
          <cell r="B135">
            <v>2572</v>
          </cell>
          <cell r="C135" t="str">
            <v>RUFISQUE</v>
          </cell>
          <cell r="E135" t="str">
            <v>U</v>
          </cell>
          <cell r="F135">
            <v>28</v>
          </cell>
        </row>
        <row r="136">
          <cell r="B136">
            <v>2576</v>
          </cell>
          <cell r="C136" t="str">
            <v>RUFISQUE</v>
          </cell>
          <cell r="E136" t="str">
            <v>U</v>
          </cell>
          <cell r="F136">
            <v>10</v>
          </cell>
        </row>
        <row r="137">
          <cell r="B137">
            <v>2579</v>
          </cell>
          <cell r="C137" t="str">
            <v>RUFISQUE</v>
          </cell>
          <cell r="E137" t="str">
            <v>U</v>
          </cell>
          <cell r="F137">
            <v>145</v>
          </cell>
        </row>
        <row r="138">
          <cell r="B138">
            <v>2588</v>
          </cell>
          <cell r="C138" t="str">
            <v>RUFISQUE</v>
          </cell>
          <cell r="E138" t="str">
            <v>U</v>
          </cell>
          <cell r="F138">
            <v>3690</v>
          </cell>
        </row>
        <row r="139">
          <cell r="B139">
            <v>2590</v>
          </cell>
          <cell r="C139" t="str">
            <v>RUFISQUE</v>
          </cell>
          <cell r="E139" t="str">
            <v>U</v>
          </cell>
          <cell r="F139">
            <v>2411</v>
          </cell>
        </row>
        <row r="140">
          <cell r="B140">
            <v>2591</v>
          </cell>
          <cell r="C140" t="str">
            <v>RUFISQUE</v>
          </cell>
          <cell r="E140" t="str">
            <v>U</v>
          </cell>
          <cell r="F140">
            <v>41</v>
          </cell>
        </row>
        <row r="141">
          <cell r="B141">
            <v>2592</v>
          </cell>
          <cell r="C141" t="str">
            <v>RUFISQUE</v>
          </cell>
          <cell r="E141" t="str">
            <v>U</v>
          </cell>
          <cell r="F141">
            <v>25</v>
          </cell>
        </row>
        <row r="142">
          <cell r="B142">
            <v>2593</v>
          </cell>
          <cell r="C142" t="str">
            <v>RUFISQUE</v>
          </cell>
          <cell r="E142" t="str">
            <v>U</v>
          </cell>
          <cell r="F142">
            <v>24</v>
          </cell>
        </row>
        <row r="143">
          <cell r="B143">
            <v>2603</v>
          </cell>
          <cell r="C143" t="str">
            <v>RUFISQUE</v>
          </cell>
          <cell r="E143" t="str">
            <v>U</v>
          </cell>
          <cell r="F143">
            <v>5</v>
          </cell>
        </row>
        <row r="144">
          <cell r="B144">
            <v>2612</v>
          </cell>
          <cell r="C144" t="str">
            <v>RUFISQUE</v>
          </cell>
          <cell r="E144" t="str">
            <v>U</v>
          </cell>
          <cell r="F144">
            <v>1</v>
          </cell>
        </row>
        <row r="145">
          <cell r="B145">
            <v>2620</v>
          </cell>
          <cell r="C145" t="str">
            <v>RUFISQUE</v>
          </cell>
          <cell r="E145" t="str">
            <v>U</v>
          </cell>
          <cell r="F145">
            <v>3</v>
          </cell>
        </row>
        <row r="146">
          <cell r="B146">
            <v>2622</v>
          </cell>
          <cell r="C146" t="str">
            <v>RUFISQUE</v>
          </cell>
          <cell r="E146" t="str">
            <v>U</v>
          </cell>
          <cell r="F146">
            <v>250</v>
          </cell>
        </row>
        <row r="147">
          <cell r="B147">
            <v>2623</v>
          </cell>
          <cell r="C147" t="str">
            <v>RUFISQUE</v>
          </cell>
          <cell r="E147" t="str">
            <v>U</v>
          </cell>
          <cell r="F147">
            <v>60</v>
          </cell>
        </row>
        <row r="148">
          <cell r="B148">
            <v>2625</v>
          </cell>
          <cell r="C148" t="str">
            <v>RUFISQUE</v>
          </cell>
          <cell r="E148" t="str">
            <v>U</v>
          </cell>
          <cell r="F148">
            <v>200</v>
          </cell>
        </row>
        <row r="149">
          <cell r="B149">
            <v>2630</v>
          </cell>
          <cell r="C149" t="str">
            <v>RUFISQUE</v>
          </cell>
          <cell r="E149" t="str">
            <v>U</v>
          </cell>
          <cell r="F149">
            <v>253</v>
          </cell>
        </row>
        <row r="150">
          <cell r="B150">
            <v>2645</v>
          </cell>
          <cell r="C150" t="str">
            <v>RUFISQUE</v>
          </cell>
          <cell r="E150" t="str">
            <v>U</v>
          </cell>
          <cell r="F150">
            <v>2</v>
          </cell>
        </row>
        <row r="151">
          <cell r="B151">
            <v>2652</v>
          </cell>
          <cell r="C151" t="str">
            <v>RUFISQUE</v>
          </cell>
          <cell r="E151" t="str">
            <v>U</v>
          </cell>
          <cell r="F151">
            <v>10</v>
          </cell>
        </row>
        <row r="152">
          <cell r="B152">
            <v>2654</v>
          </cell>
          <cell r="C152" t="str">
            <v>RUFISQUE</v>
          </cell>
          <cell r="E152" t="str">
            <v>U</v>
          </cell>
          <cell r="F152">
            <v>4</v>
          </cell>
        </row>
        <row r="153">
          <cell r="B153">
            <v>2655</v>
          </cell>
          <cell r="C153" t="str">
            <v>RUFISQUE</v>
          </cell>
          <cell r="E153" t="str">
            <v>U</v>
          </cell>
          <cell r="F153">
            <v>10</v>
          </cell>
        </row>
        <row r="154">
          <cell r="B154">
            <v>2661</v>
          </cell>
          <cell r="C154" t="str">
            <v>RUFISQUE</v>
          </cell>
          <cell r="E154" t="str">
            <v>U</v>
          </cell>
          <cell r="F154">
            <v>65</v>
          </cell>
        </row>
        <row r="155">
          <cell r="B155">
            <v>2663</v>
          </cell>
          <cell r="C155" t="str">
            <v>RUFISQUE</v>
          </cell>
          <cell r="E155" t="str">
            <v>U</v>
          </cell>
          <cell r="F155">
            <v>10</v>
          </cell>
        </row>
        <row r="156">
          <cell r="B156">
            <v>2668</v>
          </cell>
          <cell r="C156" t="str">
            <v>RUFISQUE</v>
          </cell>
          <cell r="E156" t="str">
            <v>U</v>
          </cell>
          <cell r="F156">
            <v>220</v>
          </cell>
        </row>
        <row r="157">
          <cell r="B157">
            <v>2670</v>
          </cell>
          <cell r="C157" t="str">
            <v>RUFISQUE</v>
          </cell>
          <cell r="E157" t="str">
            <v>U</v>
          </cell>
          <cell r="F157">
            <v>180</v>
          </cell>
        </row>
        <row r="158">
          <cell r="B158">
            <v>2673</v>
          </cell>
          <cell r="C158" t="str">
            <v>RUFISQUE</v>
          </cell>
          <cell r="E158" t="str">
            <v>U</v>
          </cell>
          <cell r="F158">
            <v>13</v>
          </cell>
        </row>
        <row r="159">
          <cell r="B159">
            <v>2674</v>
          </cell>
          <cell r="C159" t="str">
            <v>RUFISQUE</v>
          </cell>
          <cell r="E159" t="str">
            <v>U</v>
          </cell>
          <cell r="F159">
            <v>4</v>
          </cell>
        </row>
        <row r="160">
          <cell r="B160">
            <v>2677</v>
          </cell>
          <cell r="C160" t="str">
            <v>RUFISQUE</v>
          </cell>
          <cell r="E160" t="str">
            <v>U</v>
          </cell>
          <cell r="F160">
            <v>291</v>
          </cell>
        </row>
        <row r="161">
          <cell r="B161">
            <v>2678</v>
          </cell>
          <cell r="C161" t="str">
            <v>RUFISQUE</v>
          </cell>
          <cell r="E161" t="str">
            <v>U</v>
          </cell>
          <cell r="F161">
            <v>989</v>
          </cell>
        </row>
        <row r="162">
          <cell r="B162">
            <v>2680</v>
          </cell>
          <cell r="C162" t="str">
            <v>RUFISQUE</v>
          </cell>
          <cell r="E162" t="str">
            <v>U</v>
          </cell>
          <cell r="F162">
            <v>30</v>
          </cell>
        </row>
        <row r="163">
          <cell r="B163">
            <v>2681</v>
          </cell>
          <cell r="C163" t="str">
            <v>RUFISQUE</v>
          </cell>
          <cell r="E163" t="str">
            <v>U</v>
          </cell>
          <cell r="F163">
            <v>123</v>
          </cell>
        </row>
        <row r="164">
          <cell r="B164">
            <v>2690</v>
          </cell>
          <cell r="C164" t="str">
            <v>RUFISQUE</v>
          </cell>
          <cell r="E164" t="str">
            <v>U</v>
          </cell>
          <cell r="F164">
            <v>1</v>
          </cell>
        </row>
        <row r="165">
          <cell r="B165">
            <v>2701</v>
          </cell>
          <cell r="C165" t="str">
            <v>RUFISQUE</v>
          </cell>
          <cell r="E165" t="str">
            <v>U</v>
          </cell>
          <cell r="F165">
            <v>78</v>
          </cell>
        </row>
        <row r="166">
          <cell r="B166">
            <v>2702</v>
          </cell>
          <cell r="C166" t="str">
            <v>RUFISQUE</v>
          </cell>
          <cell r="E166" t="str">
            <v>U</v>
          </cell>
          <cell r="F166">
            <v>1300</v>
          </cell>
        </row>
        <row r="167">
          <cell r="B167">
            <v>2718</v>
          </cell>
          <cell r="C167" t="str">
            <v>RUFISQUE</v>
          </cell>
          <cell r="E167" t="str">
            <v>U</v>
          </cell>
          <cell r="F167">
            <v>241</v>
          </cell>
        </row>
        <row r="168">
          <cell r="B168">
            <v>2722</v>
          </cell>
          <cell r="C168" t="str">
            <v>RUFISQUE</v>
          </cell>
          <cell r="E168" t="str">
            <v>U</v>
          </cell>
          <cell r="F168">
            <v>96</v>
          </cell>
        </row>
        <row r="169">
          <cell r="B169">
            <v>2848</v>
          </cell>
          <cell r="C169" t="str">
            <v>RUFISQUE</v>
          </cell>
          <cell r="E169" t="str">
            <v>U</v>
          </cell>
          <cell r="F169">
            <v>2</v>
          </cell>
        </row>
        <row r="170">
          <cell r="B170">
            <v>2853</v>
          </cell>
          <cell r="C170" t="str">
            <v>RUFISQUE</v>
          </cell>
          <cell r="E170" t="str">
            <v>U</v>
          </cell>
          <cell r="F170">
            <v>3</v>
          </cell>
        </row>
        <row r="171">
          <cell r="B171">
            <v>2855</v>
          </cell>
          <cell r="C171" t="str">
            <v>RUFISQUE</v>
          </cell>
          <cell r="E171" t="str">
            <v>U</v>
          </cell>
          <cell r="F171">
            <v>1</v>
          </cell>
        </row>
        <row r="172">
          <cell r="B172">
            <v>2860</v>
          </cell>
          <cell r="C172" t="str">
            <v>RUFISQUE</v>
          </cell>
          <cell r="E172" t="str">
            <v>U</v>
          </cell>
          <cell r="F172">
            <v>50</v>
          </cell>
        </row>
        <row r="173">
          <cell r="B173">
            <v>2862</v>
          </cell>
          <cell r="C173" t="str">
            <v>RUFISQUE</v>
          </cell>
          <cell r="E173" t="str">
            <v>U</v>
          </cell>
          <cell r="F173">
            <v>1</v>
          </cell>
        </row>
        <row r="174">
          <cell r="B174">
            <v>2864</v>
          </cell>
          <cell r="C174" t="str">
            <v>RUFISQUE</v>
          </cell>
          <cell r="E174" t="str">
            <v>U</v>
          </cell>
          <cell r="F174">
            <v>12</v>
          </cell>
        </row>
        <row r="175">
          <cell r="B175">
            <v>2876</v>
          </cell>
          <cell r="C175" t="str">
            <v>RUFISQUE</v>
          </cell>
          <cell r="E175" t="str">
            <v>U</v>
          </cell>
          <cell r="F175">
            <v>238</v>
          </cell>
        </row>
        <row r="176">
          <cell r="B176">
            <v>2896</v>
          </cell>
          <cell r="C176" t="str">
            <v>RUFISQUE</v>
          </cell>
          <cell r="E176" t="str">
            <v>U</v>
          </cell>
          <cell r="F176">
            <v>46</v>
          </cell>
        </row>
        <row r="177">
          <cell r="B177">
            <v>2906</v>
          </cell>
          <cell r="C177" t="str">
            <v>RUFISQUE</v>
          </cell>
          <cell r="E177" t="str">
            <v>U</v>
          </cell>
          <cell r="F177">
            <v>380</v>
          </cell>
        </row>
        <row r="178">
          <cell r="B178">
            <v>2909</v>
          </cell>
          <cell r="C178" t="str">
            <v>RUFISQUE</v>
          </cell>
          <cell r="E178" t="str">
            <v>U</v>
          </cell>
          <cell r="F178">
            <v>5</v>
          </cell>
        </row>
        <row r="179">
          <cell r="B179">
            <v>2921</v>
          </cell>
          <cell r="C179" t="str">
            <v>RUFISQUE</v>
          </cell>
          <cell r="E179" t="str">
            <v>U</v>
          </cell>
          <cell r="F179">
            <v>4</v>
          </cell>
        </row>
        <row r="180">
          <cell r="B180">
            <v>2925</v>
          </cell>
          <cell r="C180" t="str">
            <v>RUFISQUE</v>
          </cell>
          <cell r="E180" t="str">
            <v>U</v>
          </cell>
          <cell r="F180">
            <v>1</v>
          </cell>
        </row>
        <row r="181">
          <cell r="B181">
            <v>2931</v>
          </cell>
          <cell r="C181" t="str">
            <v>RUFISQUE</v>
          </cell>
          <cell r="E181" t="str">
            <v>U</v>
          </cell>
          <cell r="F181">
            <v>35</v>
          </cell>
        </row>
        <row r="182">
          <cell r="B182">
            <v>2939</v>
          </cell>
          <cell r="C182" t="str">
            <v>RUFISQUE</v>
          </cell>
          <cell r="E182" t="str">
            <v>U</v>
          </cell>
          <cell r="F182">
            <v>27</v>
          </cell>
        </row>
        <row r="183">
          <cell r="B183">
            <v>2950</v>
          </cell>
          <cell r="C183" t="str">
            <v>RUFISQUE</v>
          </cell>
          <cell r="E183" t="str">
            <v>U</v>
          </cell>
          <cell r="F183">
            <v>19</v>
          </cell>
        </row>
        <row r="184">
          <cell r="B184">
            <v>2953</v>
          </cell>
          <cell r="C184" t="str">
            <v>RUFISQUE</v>
          </cell>
          <cell r="E184" t="str">
            <v>U</v>
          </cell>
          <cell r="F184">
            <v>2</v>
          </cell>
        </row>
        <row r="185">
          <cell r="B185">
            <v>2958</v>
          </cell>
          <cell r="C185" t="str">
            <v>RUFISQUE</v>
          </cell>
          <cell r="E185" t="str">
            <v>U</v>
          </cell>
          <cell r="F185">
            <v>13</v>
          </cell>
        </row>
        <row r="186">
          <cell r="B186">
            <v>2963</v>
          </cell>
          <cell r="C186" t="str">
            <v>RUFISQUE</v>
          </cell>
          <cell r="E186" t="str">
            <v>U</v>
          </cell>
          <cell r="F186">
            <v>2</v>
          </cell>
        </row>
        <row r="187">
          <cell r="B187">
            <v>2977</v>
          </cell>
          <cell r="C187" t="str">
            <v>RUFISQUE</v>
          </cell>
          <cell r="E187" t="str">
            <v>U</v>
          </cell>
          <cell r="F187">
            <v>1290</v>
          </cell>
        </row>
        <row r="188">
          <cell r="B188">
            <v>2978</v>
          </cell>
          <cell r="C188" t="str">
            <v>RUFISQUE</v>
          </cell>
          <cell r="E188" t="str">
            <v>U</v>
          </cell>
          <cell r="F188">
            <v>20</v>
          </cell>
        </row>
        <row r="189">
          <cell r="B189">
            <v>2990</v>
          </cell>
          <cell r="C189" t="str">
            <v>RUFISQUE</v>
          </cell>
          <cell r="E189" t="str">
            <v>U</v>
          </cell>
          <cell r="F189">
            <v>1</v>
          </cell>
        </row>
        <row r="190">
          <cell r="B190">
            <v>2993</v>
          </cell>
          <cell r="C190" t="str">
            <v>RUFISQUE</v>
          </cell>
          <cell r="E190" t="str">
            <v>U</v>
          </cell>
          <cell r="F190">
            <v>1</v>
          </cell>
        </row>
        <row r="191">
          <cell r="B191">
            <v>3003</v>
          </cell>
          <cell r="C191" t="str">
            <v>RUFISQUE</v>
          </cell>
          <cell r="E191" t="str">
            <v>U</v>
          </cell>
          <cell r="F191">
            <v>160</v>
          </cell>
        </row>
        <row r="192">
          <cell r="B192">
            <v>3033</v>
          </cell>
          <cell r="C192" t="str">
            <v>RUFISQUE</v>
          </cell>
          <cell r="E192" t="str">
            <v>U</v>
          </cell>
          <cell r="F192">
            <v>13</v>
          </cell>
        </row>
        <row r="193">
          <cell r="B193">
            <v>3045</v>
          </cell>
          <cell r="C193" t="str">
            <v>RUFISQUE</v>
          </cell>
          <cell r="E193" t="str">
            <v>U</v>
          </cell>
          <cell r="F193">
            <v>24</v>
          </cell>
        </row>
        <row r="194">
          <cell r="B194">
            <v>3061</v>
          </cell>
          <cell r="C194" t="str">
            <v>RUFISQUE</v>
          </cell>
          <cell r="E194" t="str">
            <v>U</v>
          </cell>
          <cell r="F194">
            <v>1</v>
          </cell>
        </row>
        <row r="195">
          <cell r="B195">
            <v>3099</v>
          </cell>
          <cell r="C195" t="str">
            <v>RUFISQUE</v>
          </cell>
          <cell r="E195" t="str">
            <v>U</v>
          </cell>
          <cell r="F195">
            <v>7</v>
          </cell>
        </row>
        <row r="196">
          <cell r="B196">
            <v>3104</v>
          </cell>
          <cell r="C196" t="str">
            <v>RUFISQUE</v>
          </cell>
          <cell r="E196" t="str">
            <v>PCE</v>
          </cell>
          <cell r="F196">
            <v>8</v>
          </cell>
        </row>
        <row r="197">
          <cell r="B197">
            <v>3108</v>
          </cell>
          <cell r="C197" t="str">
            <v>RUFISQUE</v>
          </cell>
          <cell r="E197" t="str">
            <v>U</v>
          </cell>
          <cell r="F197">
            <v>119</v>
          </cell>
        </row>
        <row r="198">
          <cell r="B198">
            <v>3109</v>
          </cell>
          <cell r="C198" t="str">
            <v>RUFISQUE</v>
          </cell>
          <cell r="E198" t="str">
            <v>U</v>
          </cell>
          <cell r="F198">
            <v>7</v>
          </cell>
        </row>
        <row r="199">
          <cell r="B199">
            <v>3111</v>
          </cell>
          <cell r="C199" t="str">
            <v>RUFISQUE</v>
          </cell>
          <cell r="E199" t="str">
            <v>M</v>
          </cell>
          <cell r="F199">
            <v>5</v>
          </cell>
        </row>
        <row r="200">
          <cell r="B200">
            <v>3116</v>
          </cell>
          <cell r="C200" t="str">
            <v>RUFISQUE</v>
          </cell>
          <cell r="E200" t="str">
            <v>U</v>
          </cell>
          <cell r="F200">
            <v>35</v>
          </cell>
        </row>
        <row r="201">
          <cell r="B201">
            <v>3119</v>
          </cell>
          <cell r="C201" t="str">
            <v>RUFISQUE</v>
          </cell>
          <cell r="E201" t="str">
            <v>U</v>
          </cell>
          <cell r="F201">
            <v>6</v>
          </cell>
        </row>
        <row r="202">
          <cell r="B202">
            <v>3512</v>
          </cell>
          <cell r="C202" t="str">
            <v>RUFISQUE</v>
          </cell>
          <cell r="E202" t="str">
            <v>PCE</v>
          </cell>
          <cell r="F202">
            <v>34640</v>
          </cell>
        </row>
        <row r="203">
          <cell r="B203">
            <v>3600</v>
          </cell>
          <cell r="C203" t="str">
            <v>RUFISQUE</v>
          </cell>
          <cell r="E203" t="str">
            <v>PCE</v>
          </cell>
          <cell r="F203">
            <v>492</v>
          </cell>
        </row>
        <row r="204">
          <cell r="B204">
            <v>3605</v>
          </cell>
          <cell r="C204" t="str">
            <v>RUFISQUE</v>
          </cell>
          <cell r="E204" t="str">
            <v>PCE</v>
          </cell>
          <cell r="F204">
            <v>11</v>
          </cell>
        </row>
        <row r="205">
          <cell r="B205">
            <v>3606</v>
          </cell>
          <cell r="C205" t="str">
            <v>RUFISQUE</v>
          </cell>
          <cell r="E205" t="str">
            <v>PCE</v>
          </cell>
          <cell r="F205">
            <v>150</v>
          </cell>
        </row>
        <row r="206">
          <cell r="B206">
            <v>3608</v>
          </cell>
          <cell r="C206" t="str">
            <v>RUFISQUE</v>
          </cell>
          <cell r="E206" t="str">
            <v>PCE</v>
          </cell>
          <cell r="F206">
            <v>150</v>
          </cell>
        </row>
        <row r="207">
          <cell r="B207">
            <v>3610</v>
          </cell>
          <cell r="C207" t="str">
            <v>RUFISQUE</v>
          </cell>
          <cell r="E207" t="str">
            <v>PCE</v>
          </cell>
          <cell r="F207">
            <v>99</v>
          </cell>
        </row>
        <row r="208">
          <cell r="B208">
            <v>3612</v>
          </cell>
          <cell r="C208" t="str">
            <v>RUFISQUE</v>
          </cell>
          <cell r="E208" t="str">
            <v>PCE</v>
          </cell>
          <cell r="F208">
            <v>99</v>
          </cell>
        </row>
        <row r="209">
          <cell r="B209">
            <v>3613</v>
          </cell>
          <cell r="C209" t="str">
            <v>RUFISQUE</v>
          </cell>
          <cell r="E209" t="str">
            <v>PCE</v>
          </cell>
          <cell r="F209">
            <v>1</v>
          </cell>
        </row>
        <row r="210">
          <cell r="B210">
            <v>3618</v>
          </cell>
          <cell r="C210" t="str">
            <v>RUFISQUE</v>
          </cell>
          <cell r="E210" t="str">
            <v>PCE</v>
          </cell>
          <cell r="F210">
            <v>33</v>
          </cell>
        </row>
        <row r="211">
          <cell r="B211">
            <v>3620</v>
          </cell>
          <cell r="C211" t="str">
            <v>RUFISQUE</v>
          </cell>
          <cell r="E211" t="str">
            <v>PCE</v>
          </cell>
          <cell r="F211">
            <v>1</v>
          </cell>
        </row>
        <row r="212">
          <cell r="B212">
            <v>3628</v>
          </cell>
          <cell r="C212" t="str">
            <v>RUFISQUE</v>
          </cell>
          <cell r="E212" t="str">
            <v>PCE</v>
          </cell>
          <cell r="F212">
            <v>4</v>
          </cell>
        </row>
        <row r="213">
          <cell r="B213">
            <v>3658</v>
          </cell>
          <cell r="C213" t="str">
            <v>RUFISQUE</v>
          </cell>
          <cell r="E213" t="str">
            <v>U</v>
          </cell>
          <cell r="F213">
            <v>7121</v>
          </cell>
        </row>
        <row r="214">
          <cell r="B214">
            <v>3661</v>
          </cell>
          <cell r="C214" t="str">
            <v>RUFISQUE</v>
          </cell>
          <cell r="E214" t="str">
            <v>PCE</v>
          </cell>
          <cell r="F214">
            <v>457</v>
          </cell>
        </row>
        <row r="215">
          <cell r="B215">
            <v>3701</v>
          </cell>
          <cell r="C215" t="str">
            <v>RUFISQUE</v>
          </cell>
          <cell r="E215" t="str">
            <v>PCE</v>
          </cell>
          <cell r="F215">
            <v>60</v>
          </cell>
        </row>
        <row r="216">
          <cell r="B216">
            <v>3703</v>
          </cell>
          <cell r="C216" t="str">
            <v>RUFISQUE</v>
          </cell>
          <cell r="E216" t="str">
            <v>PCE</v>
          </cell>
          <cell r="F216">
            <v>3</v>
          </cell>
        </row>
        <row r="217">
          <cell r="B217">
            <v>3713</v>
          </cell>
          <cell r="C217" t="str">
            <v>RUFISQUE</v>
          </cell>
          <cell r="E217" t="str">
            <v>U</v>
          </cell>
          <cell r="F217">
            <v>61</v>
          </cell>
        </row>
        <row r="218">
          <cell r="B218">
            <v>3729</v>
          </cell>
          <cell r="C218" t="str">
            <v>RUFISQUE</v>
          </cell>
          <cell r="E218" t="str">
            <v>PCE</v>
          </cell>
          <cell r="F218">
            <v>1</v>
          </cell>
        </row>
        <row r="219">
          <cell r="B219">
            <v>3732</v>
          </cell>
          <cell r="C219" t="str">
            <v>RUFISQUE</v>
          </cell>
          <cell r="E219" t="str">
            <v>PCE</v>
          </cell>
          <cell r="F219">
            <v>10</v>
          </cell>
        </row>
        <row r="220">
          <cell r="B220">
            <v>3733</v>
          </cell>
          <cell r="C220" t="str">
            <v>RUFISQUE</v>
          </cell>
          <cell r="E220" t="str">
            <v>PCE</v>
          </cell>
          <cell r="F220">
            <v>6</v>
          </cell>
        </row>
        <row r="221">
          <cell r="B221">
            <v>3735</v>
          </cell>
          <cell r="C221" t="str">
            <v>RUFISQUE</v>
          </cell>
          <cell r="E221" t="str">
            <v>PCE</v>
          </cell>
          <cell r="F221">
            <v>35</v>
          </cell>
        </row>
        <row r="222">
          <cell r="B222">
            <v>3736</v>
          </cell>
          <cell r="C222" t="str">
            <v>RUFISQUE</v>
          </cell>
          <cell r="E222" t="str">
            <v>PCE</v>
          </cell>
          <cell r="F222">
            <v>34</v>
          </cell>
        </row>
        <row r="223">
          <cell r="B223">
            <v>3737</v>
          </cell>
          <cell r="C223" t="str">
            <v>RUFISQUE</v>
          </cell>
          <cell r="E223" t="str">
            <v>PCE</v>
          </cell>
          <cell r="F223">
            <v>1</v>
          </cell>
        </row>
        <row r="224">
          <cell r="B224">
            <v>3740</v>
          </cell>
          <cell r="C224" t="str">
            <v>RUFISQUE</v>
          </cell>
          <cell r="E224" t="str">
            <v>PCE</v>
          </cell>
          <cell r="F224">
            <v>2</v>
          </cell>
        </row>
        <row r="225">
          <cell r="B225">
            <v>3741</v>
          </cell>
          <cell r="C225" t="str">
            <v>RUFISQUE</v>
          </cell>
          <cell r="E225" t="str">
            <v>PCE</v>
          </cell>
          <cell r="F225">
            <v>9</v>
          </cell>
        </row>
        <row r="226">
          <cell r="B226">
            <v>3744</v>
          </cell>
          <cell r="C226" t="str">
            <v>RUFISQUE</v>
          </cell>
          <cell r="E226" t="str">
            <v>PCE</v>
          </cell>
          <cell r="F226">
            <v>2</v>
          </cell>
        </row>
        <row r="227">
          <cell r="B227">
            <v>3745</v>
          </cell>
          <cell r="C227" t="str">
            <v>RUFISQUE</v>
          </cell>
          <cell r="E227" t="str">
            <v>PCE</v>
          </cell>
          <cell r="F227">
            <v>5</v>
          </cell>
        </row>
        <row r="228">
          <cell r="B228">
            <v>3748</v>
          </cell>
          <cell r="C228" t="str">
            <v>RUFISQUE</v>
          </cell>
          <cell r="E228" t="str">
            <v>PCE</v>
          </cell>
          <cell r="F228">
            <v>44</v>
          </cell>
        </row>
        <row r="229">
          <cell r="B229">
            <v>3756</v>
          </cell>
          <cell r="C229" t="str">
            <v>RUFISQUE</v>
          </cell>
          <cell r="E229" t="str">
            <v>PCE</v>
          </cell>
          <cell r="F229">
            <v>1652</v>
          </cell>
        </row>
        <row r="230">
          <cell r="B230">
            <v>3757</v>
          </cell>
          <cell r="C230" t="str">
            <v>RUFISQUE</v>
          </cell>
          <cell r="E230" t="str">
            <v>PCE</v>
          </cell>
          <cell r="F230">
            <v>3</v>
          </cell>
        </row>
        <row r="231">
          <cell r="B231">
            <v>3794</v>
          </cell>
          <cell r="C231" t="str">
            <v>RUFISQUE</v>
          </cell>
          <cell r="E231" t="str">
            <v>PCE</v>
          </cell>
          <cell r="F231">
            <v>4</v>
          </cell>
        </row>
        <row r="232">
          <cell r="B232">
            <v>3874</v>
          </cell>
          <cell r="C232" t="str">
            <v>RUFISQUE</v>
          </cell>
          <cell r="E232" t="str">
            <v>PCE</v>
          </cell>
          <cell r="F232">
            <v>1</v>
          </cell>
        </row>
        <row r="233">
          <cell r="B233">
            <v>3876</v>
          </cell>
          <cell r="C233" t="str">
            <v>RUFISQUE</v>
          </cell>
          <cell r="E233" t="str">
            <v>U</v>
          </cell>
          <cell r="F233">
            <v>6377</v>
          </cell>
        </row>
        <row r="234">
          <cell r="B234">
            <v>3879</v>
          </cell>
          <cell r="C234" t="str">
            <v>RUFISQUE</v>
          </cell>
          <cell r="E234" t="str">
            <v>U</v>
          </cell>
          <cell r="F234">
            <v>1</v>
          </cell>
        </row>
        <row r="235">
          <cell r="B235">
            <v>3880</v>
          </cell>
          <cell r="C235" t="str">
            <v>RUFISQUE</v>
          </cell>
          <cell r="E235" t="str">
            <v>U</v>
          </cell>
          <cell r="F235">
            <v>4</v>
          </cell>
        </row>
        <row r="236">
          <cell r="B236">
            <v>3890</v>
          </cell>
          <cell r="C236" t="str">
            <v>RUFISQUE</v>
          </cell>
          <cell r="E236" t="str">
            <v>PCE</v>
          </cell>
          <cell r="F236">
            <v>19</v>
          </cell>
        </row>
        <row r="237">
          <cell r="B237">
            <v>3914</v>
          </cell>
          <cell r="C237" t="str">
            <v>RUFISQUE</v>
          </cell>
          <cell r="E237" t="str">
            <v>PCE</v>
          </cell>
          <cell r="F237">
            <v>35</v>
          </cell>
        </row>
        <row r="238">
          <cell r="B238">
            <v>3934</v>
          </cell>
          <cell r="C238" t="str">
            <v>RUFISQUE</v>
          </cell>
          <cell r="E238" t="str">
            <v>U</v>
          </cell>
          <cell r="F238">
            <v>448</v>
          </cell>
        </row>
        <row r="239">
          <cell r="B239">
            <v>3957</v>
          </cell>
          <cell r="C239" t="str">
            <v>RUFISQUE</v>
          </cell>
          <cell r="E239" t="str">
            <v>PCE</v>
          </cell>
          <cell r="F239">
            <v>43</v>
          </cell>
        </row>
        <row r="240">
          <cell r="B240">
            <v>3958</v>
          </cell>
          <cell r="C240" t="str">
            <v>RUFISQUE</v>
          </cell>
          <cell r="E240" t="str">
            <v>PCE</v>
          </cell>
          <cell r="F240">
            <v>85</v>
          </cell>
        </row>
        <row r="241">
          <cell r="B241">
            <v>4092</v>
          </cell>
          <cell r="C241" t="str">
            <v>RUFISQUE</v>
          </cell>
          <cell r="E241" t="str">
            <v>PCE</v>
          </cell>
          <cell r="F241">
            <v>6</v>
          </cell>
        </row>
        <row r="242">
          <cell r="B242">
            <v>4170</v>
          </cell>
          <cell r="C242" t="str">
            <v>RUFISQUE</v>
          </cell>
          <cell r="E242" t="str">
            <v>PCE</v>
          </cell>
          <cell r="F242">
            <v>8</v>
          </cell>
        </row>
        <row r="243">
          <cell r="B243">
            <v>4175</v>
          </cell>
          <cell r="C243" t="str">
            <v>RUFISQUE</v>
          </cell>
          <cell r="E243" t="str">
            <v>PCE</v>
          </cell>
          <cell r="F243">
            <v>7</v>
          </cell>
        </row>
        <row r="244">
          <cell r="B244">
            <v>4196</v>
          </cell>
          <cell r="C244" t="str">
            <v>RUFISQUE</v>
          </cell>
          <cell r="E244" t="str">
            <v>PCE</v>
          </cell>
          <cell r="F244">
            <v>25</v>
          </cell>
        </row>
        <row r="245">
          <cell r="B245">
            <v>4202</v>
          </cell>
          <cell r="C245" t="str">
            <v>RUFISQUE</v>
          </cell>
          <cell r="E245" t="str">
            <v>PCE</v>
          </cell>
          <cell r="F245">
            <v>99</v>
          </cell>
        </row>
        <row r="246">
          <cell r="B246">
            <v>4212</v>
          </cell>
          <cell r="C246" t="str">
            <v>RUFISQUE</v>
          </cell>
          <cell r="E246" t="str">
            <v>PCE</v>
          </cell>
          <cell r="F246">
            <v>10</v>
          </cell>
        </row>
        <row r="247">
          <cell r="B247">
            <v>4247</v>
          </cell>
          <cell r="C247" t="str">
            <v>RUFISQUE</v>
          </cell>
          <cell r="E247" t="str">
            <v>PCE</v>
          </cell>
          <cell r="F247">
            <v>2</v>
          </cell>
        </row>
        <row r="248">
          <cell r="B248">
            <v>4250</v>
          </cell>
          <cell r="C248" t="str">
            <v>RUFISQUE</v>
          </cell>
          <cell r="E248" t="str">
            <v>PCE</v>
          </cell>
          <cell r="F248">
            <v>6</v>
          </cell>
        </row>
        <row r="249">
          <cell r="B249">
            <v>4274</v>
          </cell>
          <cell r="C249" t="str">
            <v>RUFISQUE</v>
          </cell>
          <cell r="E249" t="str">
            <v>PCE</v>
          </cell>
          <cell r="F249">
            <v>247</v>
          </cell>
        </row>
        <row r="250">
          <cell r="B250">
            <v>4280</v>
          </cell>
          <cell r="C250" t="str">
            <v>RUFISQUE</v>
          </cell>
          <cell r="E250" t="str">
            <v>PCE</v>
          </cell>
          <cell r="F250">
            <v>48</v>
          </cell>
        </row>
        <row r="251">
          <cell r="B251">
            <v>4281</v>
          </cell>
          <cell r="C251" t="str">
            <v>RUFISQUE</v>
          </cell>
          <cell r="E251" t="str">
            <v>PCE</v>
          </cell>
          <cell r="F251">
            <v>3874</v>
          </cell>
        </row>
        <row r="252">
          <cell r="B252">
            <v>4295</v>
          </cell>
          <cell r="C252" t="str">
            <v>RUFISQUE</v>
          </cell>
          <cell r="E252" t="str">
            <v>PCE</v>
          </cell>
          <cell r="F252">
            <v>7</v>
          </cell>
        </row>
        <row r="253">
          <cell r="B253">
            <v>4301</v>
          </cell>
          <cell r="C253" t="str">
            <v>RUFISQUE</v>
          </cell>
          <cell r="E253" t="str">
            <v>PCE</v>
          </cell>
          <cell r="F253">
            <v>5</v>
          </cell>
        </row>
        <row r="254">
          <cell r="B254">
            <v>4303</v>
          </cell>
          <cell r="C254" t="str">
            <v>RUFISQUE</v>
          </cell>
          <cell r="E254" t="str">
            <v>PCE</v>
          </cell>
          <cell r="F254">
            <v>2</v>
          </cell>
        </row>
        <row r="255">
          <cell r="B255">
            <v>4305</v>
          </cell>
          <cell r="C255" t="str">
            <v>RUFISQUE</v>
          </cell>
          <cell r="E255" t="str">
            <v>PCE</v>
          </cell>
          <cell r="F255">
            <v>1</v>
          </cell>
        </row>
        <row r="256">
          <cell r="B256">
            <v>4306</v>
          </cell>
          <cell r="C256" t="str">
            <v>RUFISQUE</v>
          </cell>
          <cell r="E256" t="str">
            <v>PCE</v>
          </cell>
          <cell r="F256">
            <v>8</v>
          </cell>
        </row>
        <row r="257">
          <cell r="B257">
            <v>4307</v>
          </cell>
          <cell r="C257" t="str">
            <v>RUFISQUE</v>
          </cell>
          <cell r="E257" t="str">
            <v>PCE</v>
          </cell>
          <cell r="F257">
            <v>20</v>
          </cell>
        </row>
        <row r="258">
          <cell r="B258">
            <v>4308</v>
          </cell>
          <cell r="C258" t="str">
            <v>RUFISQUE</v>
          </cell>
          <cell r="E258" t="str">
            <v>PCE</v>
          </cell>
          <cell r="F258">
            <v>10</v>
          </cell>
        </row>
        <row r="259">
          <cell r="B259">
            <v>4321</v>
          </cell>
          <cell r="C259" t="str">
            <v>RUFISQUE</v>
          </cell>
          <cell r="E259" t="str">
            <v>PCE</v>
          </cell>
          <cell r="F259">
            <v>10</v>
          </cell>
        </row>
        <row r="260">
          <cell r="B260">
            <v>4333</v>
          </cell>
          <cell r="C260" t="str">
            <v>RUFISQUE</v>
          </cell>
          <cell r="E260" t="str">
            <v>PCE</v>
          </cell>
          <cell r="F260">
            <v>4</v>
          </cell>
        </row>
        <row r="261">
          <cell r="B261">
            <v>4350</v>
          </cell>
          <cell r="C261" t="str">
            <v>RUFISQUE</v>
          </cell>
          <cell r="E261" t="str">
            <v>PCE</v>
          </cell>
          <cell r="F261">
            <v>4</v>
          </cell>
        </row>
        <row r="262">
          <cell r="B262">
            <v>4353</v>
          </cell>
          <cell r="C262" t="str">
            <v>RUFISQUE</v>
          </cell>
          <cell r="E262" t="str">
            <v>PCE</v>
          </cell>
          <cell r="F262">
            <v>21</v>
          </cell>
        </row>
        <row r="263">
          <cell r="B263">
            <v>4354</v>
          </cell>
          <cell r="C263" t="str">
            <v>RUFISQUE</v>
          </cell>
          <cell r="E263" t="str">
            <v>PCE</v>
          </cell>
          <cell r="F263">
            <v>1143</v>
          </cell>
        </row>
        <row r="264">
          <cell r="B264">
            <v>4355</v>
          </cell>
          <cell r="C264" t="str">
            <v>RUFISQUE</v>
          </cell>
          <cell r="E264" t="str">
            <v>PCE</v>
          </cell>
          <cell r="F264">
            <v>450</v>
          </cell>
        </row>
        <row r="265">
          <cell r="B265">
            <v>4370</v>
          </cell>
          <cell r="C265" t="str">
            <v>RUFISQUE</v>
          </cell>
          <cell r="E265" t="str">
            <v>PCE</v>
          </cell>
          <cell r="F265">
            <v>2</v>
          </cell>
        </row>
        <row r="266">
          <cell r="B266">
            <v>4372</v>
          </cell>
          <cell r="C266" t="str">
            <v>RUFISQUE</v>
          </cell>
          <cell r="E266" t="str">
            <v>PCE</v>
          </cell>
          <cell r="F266">
            <v>1</v>
          </cell>
        </row>
        <row r="267">
          <cell r="B267">
            <v>4399</v>
          </cell>
          <cell r="C267" t="str">
            <v>RUFISQUE</v>
          </cell>
          <cell r="E267" t="str">
            <v>PCE</v>
          </cell>
          <cell r="F267">
            <v>2</v>
          </cell>
        </row>
        <row r="268">
          <cell r="B268">
            <v>4403</v>
          </cell>
          <cell r="C268" t="str">
            <v>RUFISQUE</v>
          </cell>
          <cell r="E268" t="str">
            <v>PCE</v>
          </cell>
          <cell r="F268">
            <v>50</v>
          </cell>
        </row>
        <row r="269">
          <cell r="B269">
            <v>4437</v>
          </cell>
          <cell r="C269" t="str">
            <v>RUFISQUE</v>
          </cell>
          <cell r="E269" t="str">
            <v>PCE</v>
          </cell>
          <cell r="F269">
            <v>92</v>
          </cell>
        </row>
        <row r="270">
          <cell r="B270">
            <v>4451</v>
          </cell>
          <cell r="C270" t="str">
            <v>RUFISQUE</v>
          </cell>
          <cell r="E270" t="str">
            <v>PCE</v>
          </cell>
          <cell r="F270">
            <v>5</v>
          </cell>
        </row>
        <row r="271">
          <cell r="B271">
            <v>4453</v>
          </cell>
          <cell r="C271" t="str">
            <v>RUFISQUE</v>
          </cell>
          <cell r="E271" t="str">
            <v>PCE</v>
          </cell>
          <cell r="F271">
            <v>5</v>
          </cell>
        </row>
        <row r="272">
          <cell r="B272">
            <v>4469</v>
          </cell>
          <cell r="C272" t="str">
            <v>RUFISQUE</v>
          </cell>
          <cell r="E272" t="str">
            <v>PCE</v>
          </cell>
          <cell r="F272">
            <v>1</v>
          </cell>
        </row>
        <row r="273">
          <cell r="B273">
            <v>4520</v>
          </cell>
          <cell r="C273" t="str">
            <v>RUFISQUE</v>
          </cell>
          <cell r="E273" t="str">
            <v>PCE</v>
          </cell>
          <cell r="F273">
            <v>5</v>
          </cell>
        </row>
        <row r="274">
          <cell r="B274">
            <v>4565</v>
          </cell>
          <cell r="C274" t="str">
            <v>RUFISQUE</v>
          </cell>
          <cell r="E274" t="str">
            <v>PCE</v>
          </cell>
          <cell r="F274">
            <v>3</v>
          </cell>
        </row>
        <row r="275">
          <cell r="B275">
            <v>4570</v>
          </cell>
          <cell r="C275" t="str">
            <v>RUFISQUE</v>
          </cell>
          <cell r="E275" t="str">
            <v>PCE</v>
          </cell>
          <cell r="F275">
            <v>2</v>
          </cell>
        </row>
        <row r="276">
          <cell r="B276">
            <v>4575</v>
          </cell>
          <cell r="C276" t="str">
            <v>RUFISQUE</v>
          </cell>
          <cell r="E276" t="str">
            <v>PCE</v>
          </cell>
          <cell r="F276">
            <v>3200</v>
          </cell>
        </row>
        <row r="277">
          <cell r="B277">
            <v>4588</v>
          </cell>
          <cell r="C277" t="str">
            <v>RUFISQUE</v>
          </cell>
          <cell r="E277" t="str">
            <v>PCE</v>
          </cell>
          <cell r="F277">
            <v>6</v>
          </cell>
        </row>
        <row r="278">
          <cell r="B278">
            <v>4609</v>
          </cell>
          <cell r="C278" t="str">
            <v>RUFISQUE</v>
          </cell>
          <cell r="E278" t="str">
            <v>PCE</v>
          </cell>
          <cell r="F278">
            <v>2</v>
          </cell>
        </row>
        <row r="279">
          <cell r="B279">
            <v>4635</v>
          </cell>
          <cell r="C279" t="str">
            <v>RUFISQUE</v>
          </cell>
          <cell r="E279" t="str">
            <v>PCE</v>
          </cell>
          <cell r="F279">
            <v>5</v>
          </cell>
        </row>
        <row r="280">
          <cell r="B280">
            <v>4637</v>
          </cell>
          <cell r="C280" t="str">
            <v>RUFISQUE</v>
          </cell>
          <cell r="E280" t="str">
            <v>PCE</v>
          </cell>
          <cell r="F280">
            <v>15</v>
          </cell>
        </row>
        <row r="281">
          <cell r="B281">
            <v>4641</v>
          </cell>
          <cell r="C281" t="str">
            <v>RUFISQUE</v>
          </cell>
          <cell r="E281" t="str">
            <v>PCE</v>
          </cell>
          <cell r="F281">
            <v>1</v>
          </cell>
        </row>
        <row r="282">
          <cell r="B282">
            <v>4643</v>
          </cell>
          <cell r="C282" t="str">
            <v>RUFISQUE</v>
          </cell>
          <cell r="E282" t="str">
            <v>PCE</v>
          </cell>
          <cell r="F282">
            <v>90</v>
          </cell>
        </row>
        <row r="283">
          <cell r="B283">
            <v>4660</v>
          </cell>
          <cell r="C283" t="str">
            <v>RUFISQUE</v>
          </cell>
          <cell r="E283" t="str">
            <v>PCE</v>
          </cell>
          <cell r="F283">
            <v>1</v>
          </cell>
        </row>
        <row r="284">
          <cell r="B284">
            <v>4662</v>
          </cell>
          <cell r="C284" t="str">
            <v>RUFISQUE</v>
          </cell>
          <cell r="E284" t="str">
            <v>PCE</v>
          </cell>
          <cell r="F284">
            <v>1060</v>
          </cell>
        </row>
        <row r="285">
          <cell r="B285">
            <v>4663</v>
          </cell>
          <cell r="C285" t="str">
            <v>RUFISQUE</v>
          </cell>
          <cell r="E285" t="str">
            <v>PCE</v>
          </cell>
          <cell r="F285">
            <v>20</v>
          </cell>
        </row>
        <row r="286">
          <cell r="B286">
            <v>4676</v>
          </cell>
          <cell r="C286" t="str">
            <v>RUFISQUE</v>
          </cell>
          <cell r="E286" t="str">
            <v>PCE</v>
          </cell>
          <cell r="F286">
            <v>15</v>
          </cell>
        </row>
        <row r="287">
          <cell r="B287">
            <v>4681</v>
          </cell>
          <cell r="C287" t="str">
            <v>RUFISQUE</v>
          </cell>
          <cell r="E287" t="str">
            <v>PCE</v>
          </cell>
          <cell r="F287">
            <v>15</v>
          </cell>
        </row>
        <row r="288">
          <cell r="B288">
            <v>4716</v>
          </cell>
          <cell r="C288" t="str">
            <v>RUFISQUE</v>
          </cell>
          <cell r="E288" t="str">
            <v>PCE</v>
          </cell>
          <cell r="F288">
            <v>57</v>
          </cell>
        </row>
        <row r="289">
          <cell r="B289">
            <v>4834</v>
          </cell>
          <cell r="C289" t="str">
            <v>RUFISQUE</v>
          </cell>
          <cell r="E289" t="str">
            <v>PCE</v>
          </cell>
          <cell r="F289">
            <v>1</v>
          </cell>
        </row>
        <row r="290">
          <cell r="B290">
            <v>4837</v>
          </cell>
          <cell r="C290" t="str">
            <v>RUFISQUE</v>
          </cell>
          <cell r="E290" t="str">
            <v>PCE</v>
          </cell>
          <cell r="F290">
            <v>2</v>
          </cell>
        </row>
        <row r="291">
          <cell r="B291">
            <v>4859</v>
          </cell>
          <cell r="C291" t="str">
            <v>RUFISQUE</v>
          </cell>
          <cell r="E291" t="str">
            <v>PCE</v>
          </cell>
          <cell r="F291">
            <v>204</v>
          </cell>
        </row>
        <row r="292">
          <cell r="B292">
            <v>4860</v>
          </cell>
          <cell r="C292" t="str">
            <v>RUFISQUE</v>
          </cell>
          <cell r="E292" t="str">
            <v>PCE</v>
          </cell>
          <cell r="F292">
            <v>105</v>
          </cell>
        </row>
        <row r="293">
          <cell r="B293">
            <v>4861</v>
          </cell>
          <cell r="C293" t="str">
            <v>RUFISQUE</v>
          </cell>
          <cell r="E293" t="str">
            <v>PCE</v>
          </cell>
          <cell r="F293">
            <v>370</v>
          </cell>
        </row>
        <row r="294">
          <cell r="B294">
            <v>4862</v>
          </cell>
          <cell r="C294" t="str">
            <v>RUFISQUE</v>
          </cell>
          <cell r="E294" t="str">
            <v>PCE</v>
          </cell>
          <cell r="F294">
            <v>80</v>
          </cell>
        </row>
        <row r="295">
          <cell r="B295">
            <v>4863</v>
          </cell>
          <cell r="C295" t="str">
            <v>RUFISQUE</v>
          </cell>
          <cell r="E295" t="str">
            <v>PCE</v>
          </cell>
          <cell r="F295">
            <v>65</v>
          </cell>
        </row>
        <row r="296">
          <cell r="B296">
            <v>4869</v>
          </cell>
          <cell r="C296" t="str">
            <v>RUFISQUE</v>
          </cell>
          <cell r="E296" t="str">
            <v>PCE</v>
          </cell>
          <cell r="F296">
            <v>3</v>
          </cell>
        </row>
        <row r="297">
          <cell r="B297">
            <v>4883</v>
          </cell>
          <cell r="C297" t="str">
            <v>RUFISQUE</v>
          </cell>
          <cell r="E297" t="str">
            <v>PCE</v>
          </cell>
          <cell r="F297">
            <v>5</v>
          </cell>
        </row>
        <row r="298">
          <cell r="B298">
            <v>4888</v>
          </cell>
          <cell r="C298" t="str">
            <v>RUFISQUE</v>
          </cell>
          <cell r="E298" t="str">
            <v>PCE</v>
          </cell>
          <cell r="F298">
            <v>157</v>
          </cell>
        </row>
        <row r="299">
          <cell r="B299">
            <v>4921</v>
          </cell>
          <cell r="C299" t="str">
            <v>RUFISQUE</v>
          </cell>
          <cell r="E299" t="str">
            <v>U</v>
          </cell>
          <cell r="F299">
            <v>8</v>
          </cell>
        </row>
        <row r="300">
          <cell r="B300">
            <v>4929</v>
          </cell>
          <cell r="C300" t="str">
            <v>RUFISQUE</v>
          </cell>
          <cell r="E300" t="str">
            <v>PCE</v>
          </cell>
          <cell r="F300">
            <v>1</v>
          </cell>
        </row>
        <row r="301">
          <cell r="B301">
            <v>4930</v>
          </cell>
          <cell r="C301" t="str">
            <v>RUFISQUE</v>
          </cell>
          <cell r="E301" t="str">
            <v>PCE</v>
          </cell>
          <cell r="F301">
            <v>50</v>
          </cell>
        </row>
        <row r="302">
          <cell r="B302">
            <v>4958</v>
          </cell>
          <cell r="C302" t="str">
            <v>RUFISQUE</v>
          </cell>
          <cell r="E302" t="str">
            <v>PCE</v>
          </cell>
          <cell r="F302">
            <v>15</v>
          </cell>
        </row>
        <row r="303">
          <cell r="B303">
            <v>4959</v>
          </cell>
          <cell r="C303" t="str">
            <v>RUFISQUE</v>
          </cell>
          <cell r="E303" t="str">
            <v>PCE</v>
          </cell>
          <cell r="F303">
            <v>2</v>
          </cell>
        </row>
        <row r="304">
          <cell r="B304">
            <v>4960</v>
          </cell>
          <cell r="C304" t="str">
            <v>RUFISQUE</v>
          </cell>
          <cell r="E304" t="str">
            <v>PCE</v>
          </cell>
          <cell r="F304">
            <v>3955</v>
          </cell>
        </row>
        <row r="305">
          <cell r="B305">
            <v>4961</v>
          </cell>
          <cell r="C305" t="str">
            <v>RUFISQUE</v>
          </cell>
          <cell r="E305" t="str">
            <v>PCE</v>
          </cell>
          <cell r="F305">
            <v>3904</v>
          </cell>
        </row>
        <row r="306">
          <cell r="B306">
            <v>4962</v>
          </cell>
          <cell r="C306" t="str">
            <v>RUFISQUE</v>
          </cell>
          <cell r="E306" t="str">
            <v>PCE</v>
          </cell>
          <cell r="F306">
            <v>2642</v>
          </cell>
        </row>
        <row r="307">
          <cell r="B307">
            <v>5861</v>
          </cell>
          <cell r="C307" t="str">
            <v>RUFISQUE</v>
          </cell>
          <cell r="E307" t="str">
            <v>PCE</v>
          </cell>
          <cell r="F307">
            <v>100</v>
          </cell>
        </row>
        <row r="308">
          <cell r="B308">
            <v>5862</v>
          </cell>
          <cell r="C308" t="str">
            <v>RUFISQUE</v>
          </cell>
          <cell r="E308" t="str">
            <v>PCE</v>
          </cell>
          <cell r="F308">
            <v>100</v>
          </cell>
        </row>
        <row r="309">
          <cell r="B309">
            <v>30013</v>
          </cell>
          <cell r="C309" t="str">
            <v>RUFISQUE</v>
          </cell>
          <cell r="E309" t="str">
            <v>PCE</v>
          </cell>
          <cell r="F309">
            <v>7</v>
          </cell>
        </row>
        <row r="310">
          <cell r="B310">
            <v>30041</v>
          </cell>
          <cell r="C310" t="str">
            <v>RUFISQUE</v>
          </cell>
          <cell r="E310" t="str">
            <v>PCE</v>
          </cell>
          <cell r="F310">
            <v>12</v>
          </cell>
        </row>
        <row r="311">
          <cell r="B311">
            <v>30042</v>
          </cell>
          <cell r="C311" t="str">
            <v>RUFISQUE</v>
          </cell>
          <cell r="E311" t="str">
            <v>PCE</v>
          </cell>
          <cell r="F311">
            <v>12</v>
          </cell>
        </row>
        <row r="312">
          <cell r="B312">
            <v>30061</v>
          </cell>
          <cell r="C312" t="str">
            <v>RUFISQUE</v>
          </cell>
          <cell r="E312" t="str">
            <v>PCE</v>
          </cell>
          <cell r="F312">
            <v>2</v>
          </cell>
        </row>
        <row r="313">
          <cell r="B313">
            <v>30072</v>
          </cell>
          <cell r="C313" t="str">
            <v>RUFISQUE</v>
          </cell>
          <cell r="E313" t="str">
            <v>PCE</v>
          </cell>
          <cell r="F313">
            <v>11</v>
          </cell>
        </row>
        <row r="314">
          <cell r="B314">
            <v>30079</v>
          </cell>
          <cell r="C314" t="str">
            <v>RUFISQUE</v>
          </cell>
          <cell r="E314" t="str">
            <v>PCE</v>
          </cell>
          <cell r="F314">
            <v>9</v>
          </cell>
        </row>
        <row r="315">
          <cell r="B315">
            <v>30080</v>
          </cell>
          <cell r="C315" t="str">
            <v>RUFISQUE</v>
          </cell>
          <cell r="E315" t="str">
            <v>PCE</v>
          </cell>
          <cell r="F315">
            <v>10</v>
          </cell>
        </row>
        <row r="316">
          <cell r="B316">
            <v>30092</v>
          </cell>
          <cell r="C316" t="str">
            <v>RUFISQUE</v>
          </cell>
          <cell r="E316" t="str">
            <v>PCE</v>
          </cell>
          <cell r="F316">
            <v>11</v>
          </cell>
        </row>
        <row r="317">
          <cell r="B317">
            <v>30170</v>
          </cell>
          <cell r="C317" t="str">
            <v>RUFISQUE</v>
          </cell>
          <cell r="E317" t="str">
            <v>PCE</v>
          </cell>
          <cell r="F317">
            <v>10</v>
          </cell>
        </row>
        <row r="318">
          <cell r="B318">
            <v>30171</v>
          </cell>
          <cell r="C318" t="str">
            <v>RUFISQUE</v>
          </cell>
          <cell r="E318" t="str">
            <v>PCE</v>
          </cell>
          <cell r="F318">
            <v>180</v>
          </cell>
        </row>
        <row r="319">
          <cell r="B319">
            <v>30178</v>
          </cell>
          <cell r="C319" t="str">
            <v>RUFISQUE</v>
          </cell>
          <cell r="E319" t="str">
            <v>PCE</v>
          </cell>
          <cell r="F319">
            <v>1</v>
          </cell>
        </row>
        <row r="320">
          <cell r="B320">
            <v>30187</v>
          </cell>
          <cell r="C320" t="str">
            <v>RUFISQUE</v>
          </cell>
          <cell r="E320" t="str">
            <v>PCE</v>
          </cell>
          <cell r="F320">
            <v>16</v>
          </cell>
        </row>
        <row r="321">
          <cell r="B321">
            <v>30189</v>
          </cell>
          <cell r="C321" t="str">
            <v>RUFISQUE</v>
          </cell>
          <cell r="E321" t="str">
            <v>PCE</v>
          </cell>
          <cell r="F321">
            <v>10</v>
          </cell>
        </row>
        <row r="322">
          <cell r="B322">
            <v>30190</v>
          </cell>
          <cell r="C322" t="str">
            <v>RUFISQUE</v>
          </cell>
          <cell r="E322" t="str">
            <v>PCE</v>
          </cell>
          <cell r="F322">
            <v>10</v>
          </cell>
        </row>
        <row r="323">
          <cell r="B323">
            <v>30198</v>
          </cell>
          <cell r="C323" t="str">
            <v>RUFISQUE</v>
          </cell>
          <cell r="E323" t="str">
            <v>PCE</v>
          </cell>
          <cell r="F323">
            <v>72</v>
          </cell>
        </row>
        <row r="324">
          <cell r="B324">
            <v>30245</v>
          </cell>
          <cell r="C324" t="str">
            <v>RUFISQUE</v>
          </cell>
          <cell r="E324" t="str">
            <v>PCE</v>
          </cell>
          <cell r="F324">
            <v>4</v>
          </cell>
        </row>
        <row r="325">
          <cell r="B325">
            <v>30248</v>
          </cell>
          <cell r="C325" t="str">
            <v>RUFISQUE</v>
          </cell>
          <cell r="E325" t="str">
            <v>PCE</v>
          </cell>
          <cell r="F325">
            <v>1387</v>
          </cell>
        </row>
        <row r="326">
          <cell r="B326">
            <v>30264</v>
          </cell>
          <cell r="C326" t="str">
            <v>RUFISQUE</v>
          </cell>
          <cell r="E326" t="str">
            <v>PCE</v>
          </cell>
          <cell r="F326">
            <v>9</v>
          </cell>
        </row>
        <row r="327">
          <cell r="B327">
            <v>30286</v>
          </cell>
          <cell r="C327" t="str">
            <v>RUFISQUE</v>
          </cell>
          <cell r="E327" t="str">
            <v>PCE</v>
          </cell>
          <cell r="F327">
            <v>5</v>
          </cell>
        </row>
        <row r="328">
          <cell r="B328">
            <v>30292</v>
          </cell>
          <cell r="C328" t="str">
            <v>RUFISQUE</v>
          </cell>
          <cell r="E328" t="str">
            <v>PCE</v>
          </cell>
          <cell r="F328">
            <v>3</v>
          </cell>
        </row>
        <row r="329">
          <cell r="B329">
            <v>30294</v>
          </cell>
          <cell r="C329" t="str">
            <v>RUFISQUE</v>
          </cell>
          <cell r="E329" t="str">
            <v>PCE</v>
          </cell>
          <cell r="F329">
            <v>18</v>
          </cell>
        </row>
        <row r="330">
          <cell r="B330">
            <v>30312</v>
          </cell>
          <cell r="C330" t="str">
            <v>RUFISQUE</v>
          </cell>
          <cell r="E330" t="str">
            <v>PCE</v>
          </cell>
          <cell r="F330">
            <v>130</v>
          </cell>
        </row>
        <row r="331">
          <cell r="B331">
            <v>30314</v>
          </cell>
          <cell r="C331" t="str">
            <v>RUFISQUE</v>
          </cell>
          <cell r="E331" t="str">
            <v>PCE</v>
          </cell>
          <cell r="F331">
            <v>6</v>
          </cell>
        </row>
        <row r="332">
          <cell r="B332">
            <v>30317</v>
          </cell>
          <cell r="C332" t="str">
            <v>RUFISQUE</v>
          </cell>
          <cell r="E332" t="str">
            <v>U</v>
          </cell>
          <cell r="F332">
            <v>90</v>
          </cell>
        </row>
        <row r="333">
          <cell r="B333">
            <v>30357</v>
          </cell>
          <cell r="C333" t="str">
            <v>RUFISQUE</v>
          </cell>
          <cell r="E333" t="str">
            <v>PCE</v>
          </cell>
          <cell r="F333">
            <v>5</v>
          </cell>
        </row>
        <row r="334">
          <cell r="B334">
            <v>30359</v>
          </cell>
          <cell r="C334" t="str">
            <v>RUFISQUE</v>
          </cell>
          <cell r="E334" t="str">
            <v>PCE</v>
          </cell>
          <cell r="F334">
            <v>100</v>
          </cell>
        </row>
        <row r="335">
          <cell r="B335">
            <v>30365</v>
          </cell>
          <cell r="C335" t="str">
            <v>RUFISQUE</v>
          </cell>
          <cell r="E335" t="str">
            <v>PCE</v>
          </cell>
          <cell r="F335">
            <v>76</v>
          </cell>
        </row>
        <row r="336">
          <cell r="B336">
            <v>30493</v>
          </cell>
          <cell r="C336" t="str">
            <v>RUFISQUE</v>
          </cell>
          <cell r="E336" t="str">
            <v>PCE</v>
          </cell>
          <cell r="F336">
            <v>67</v>
          </cell>
        </row>
        <row r="337">
          <cell r="B337">
            <v>30497</v>
          </cell>
          <cell r="C337" t="str">
            <v>RUFISQUE</v>
          </cell>
          <cell r="E337" t="str">
            <v>PCE</v>
          </cell>
          <cell r="F337">
            <v>300</v>
          </cell>
        </row>
        <row r="338">
          <cell r="B338">
            <v>30503</v>
          </cell>
          <cell r="C338" t="str">
            <v>RUFISQUE</v>
          </cell>
          <cell r="E338" t="str">
            <v>PCE</v>
          </cell>
          <cell r="F338">
            <v>60</v>
          </cell>
        </row>
        <row r="339">
          <cell r="B339">
            <v>30504</v>
          </cell>
          <cell r="C339" t="str">
            <v>RUFISQUE</v>
          </cell>
          <cell r="E339" t="str">
            <v>PCE</v>
          </cell>
          <cell r="F339">
            <v>239</v>
          </cell>
        </row>
        <row r="340">
          <cell r="B340">
            <v>30515</v>
          </cell>
          <cell r="C340" t="str">
            <v>RUFISQUE</v>
          </cell>
          <cell r="E340" t="str">
            <v>PCE</v>
          </cell>
          <cell r="F340">
            <v>1</v>
          </cell>
        </row>
        <row r="341">
          <cell r="B341">
            <v>30517</v>
          </cell>
          <cell r="C341" t="str">
            <v>RUFISQUE</v>
          </cell>
          <cell r="E341" t="str">
            <v>PCE</v>
          </cell>
          <cell r="F341">
            <v>5</v>
          </cell>
        </row>
        <row r="342">
          <cell r="B342">
            <v>30816</v>
          </cell>
          <cell r="C342" t="str">
            <v>RUFISQUE</v>
          </cell>
          <cell r="E342" t="str">
            <v>PCE</v>
          </cell>
          <cell r="F342">
            <v>3</v>
          </cell>
        </row>
        <row r="343">
          <cell r="B343">
            <v>30834</v>
          </cell>
          <cell r="C343" t="str">
            <v>RUFISQUE</v>
          </cell>
          <cell r="E343" t="str">
            <v>PCE</v>
          </cell>
          <cell r="F343">
            <v>1</v>
          </cell>
        </row>
        <row r="344">
          <cell r="B344">
            <v>30835</v>
          </cell>
          <cell r="C344" t="str">
            <v>RUFISQUE</v>
          </cell>
          <cell r="E344" t="str">
            <v>PCE</v>
          </cell>
          <cell r="F344">
            <v>7</v>
          </cell>
        </row>
        <row r="345">
          <cell r="B345">
            <v>30837</v>
          </cell>
          <cell r="C345" t="str">
            <v>RUFISQUE</v>
          </cell>
          <cell r="E345" t="str">
            <v>PCE</v>
          </cell>
          <cell r="F345">
            <v>7</v>
          </cell>
        </row>
        <row r="346">
          <cell r="B346">
            <v>30874</v>
          </cell>
          <cell r="C346" t="str">
            <v>RUFISQUE</v>
          </cell>
          <cell r="E346" t="str">
            <v>PCE</v>
          </cell>
          <cell r="F346">
            <v>2</v>
          </cell>
        </row>
        <row r="347">
          <cell r="B347">
            <v>30939</v>
          </cell>
          <cell r="C347" t="str">
            <v>RUFISQUE</v>
          </cell>
          <cell r="E347" t="str">
            <v>PCE</v>
          </cell>
          <cell r="F347">
            <v>442</v>
          </cell>
        </row>
        <row r="348">
          <cell r="B348">
            <v>30945</v>
          </cell>
          <cell r="C348" t="str">
            <v>RUFISQUE</v>
          </cell>
          <cell r="E348" t="str">
            <v>PCE</v>
          </cell>
          <cell r="F348">
            <v>8</v>
          </cell>
        </row>
        <row r="349">
          <cell r="B349">
            <v>30946</v>
          </cell>
          <cell r="C349" t="str">
            <v>RUFISQUE</v>
          </cell>
          <cell r="E349" t="str">
            <v>PCE</v>
          </cell>
          <cell r="F349">
            <v>117</v>
          </cell>
        </row>
        <row r="350">
          <cell r="B350">
            <v>30977</v>
          </cell>
          <cell r="C350" t="str">
            <v>RUFISQUE</v>
          </cell>
          <cell r="E350" t="str">
            <v>PCE</v>
          </cell>
          <cell r="F350">
            <v>4000</v>
          </cell>
        </row>
        <row r="351">
          <cell r="B351">
            <v>30990</v>
          </cell>
          <cell r="C351" t="str">
            <v>RUFISQUE</v>
          </cell>
          <cell r="E351" t="str">
            <v>PCE</v>
          </cell>
          <cell r="F351">
            <v>25</v>
          </cell>
        </row>
        <row r="352">
          <cell r="B352">
            <v>31011</v>
          </cell>
          <cell r="C352" t="str">
            <v>RUFISQUE</v>
          </cell>
          <cell r="E352" t="str">
            <v>PCE</v>
          </cell>
          <cell r="F352">
            <v>8</v>
          </cell>
        </row>
        <row r="353">
          <cell r="B353">
            <v>31012</v>
          </cell>
          <cell r="C353" t="str">
            <v>RUFISQUE</v>
          </cell>
          <cell r="E353" t="str">
            <v>PCE</v>
          </cell>
          <cell r="F353">
            <v>3</v>
          </cell>
        </row>
        <row r="354">
          <cell r="B354">
            <v>31056</v>
          </cell>
          <cell r="C354" t="str">
            <v>RUFISQUE</v>
          </cell>
          <cell r="E354" t="str">
            <v>PCE</v>
          </cell>
          <cell r="F354">
            <v>1</v>
          </cell>
        </row>
        <row r="355">
          <cell r="B355">
            <v>31153</v>
          </cell>
          <cell r="C355" t="str">
            <v>RUFISQUE</v>
          </cell>
          <cell r="E355" t="str">
            <v>PCE</v>
          </cell>
          <cell r="F355">
            <v>5</v>
          </cell>
        </row>
        <row r="356">
          <cell r="B356">
            <v>31168</v>
          </cell>
          <cell r="C356" t="str">
            <v>RUFISQUE</v>
          </cell>
          <cell r="E356" t="str">
            <v>PCE</v>
          </cell>
          <cell r="F356">
            <v>7</v>
          </cell>
        </row>
        <row r="357">
          <cell r="B357">
            <v>31169</v>
          </cell>
          <cell r="C357" t="str">
            <v>RUFISQUE</v>
          </cell>
          <cell r="E357" t="str">
            <v>PCE</v>
          </cell>
          <cell r="F357">
            <v>5</v>
          </cell>
        </row>
        <row r="358">
          <cell r="B358">
            <v>31225</v>
          </cell>
          <cell r="C358" t="str">
            <v>RUFISQUE</v>
          </cell>
          <cell r="E358" t="str">
            <v>PCE</v>
          </cell>
          <cell r="F358">
            <v>13</v>
          </cell>
        </row>
        <row r="359">
          <cell r="B359">
            <v>31236</v>
          </cell>
          <cell r="C359" t="str">
            <v>RUFISQUE</v>
          </cell>
          <cell r="E359" t="str">
            <v>PCE</v>
          </cell>
          <cell r="F359">
            <v>1</v>
          </cell>
        </row>
        <row r="360">
          <cell r="B360">
            <v>31278</v>
          </cell>
          <cell r="C360" t="str">
            <v>RUFISQUE</v>
          </cell>
          <cell r="E360" t="str">
            <v>PCE</v>
          </cell>
          <cell r="F360">
            <v>10</v>
          </cell>
        </row>
        <row r="361">
          <cell r="B361">
            <v>31279</v>
          </cell>
          <cell r="C361" t="str">
            <v>RUFISQUE</v>
          </cell>
          <cell r="E361" t="str">
            <v>PCE</v>
          </cell>
          <cell r="F361">
            <v>7</v>
          </cell>
        </row>
        <row r="362">
          <cell r="B362">
            <v>31280</v>
          </cell>
          <cell r="C362" t="str">
            <v>RUFISQUE</v>
          </cell>
          <cell r="E362" t="str">
            <v>PCE</v>
          </cell>
          <cell r="F362">
            <v>30</v>
          </cell>
        </row>
        <row r="363">
          <cell r="B363">
            <v>31286</v>
          </cell>
          <cell r="C363" t="str">
            <v>RUFISQUE</v>
          </cell>
          <cell r="E363" t="str">
            <v>PCE</v>
          </cell>
          <cell r="F363">
            <v>21</v>
          </cell>
        </row>
        <row r="364">
          <cell r="B364">
            <v>31290</v>
          </cell>
          <cell r="C364" t="str">
            <v>RUFISQUE</v>
          </cell>
          <cell r="E364" t="str">
            <v>PCE</v>
          </cell>
          <cell r="F364">
            <v>79</v>
          </cell>
        </row>
        <row r="365">
          <cell r="B365">
            <v>31291</v>
          </cell>
          <cell r="C365" t="str">
            <v>RUFISQUE</v>
          </cell>
          <cell r="E365" t="str">
            <v>PCE</v>
          </cell>
          <cell r="F365">
            <v>15</v>
          </cell>
        </row>
        <row r="366">
          <cell r="B366">
            <v>31292</v>
          </cell>
          <cell r="C366" t="str">
            <v>RUFISQUE</v>
          </cell>
          <cell r="E366" t="str">
            <v>PCE</v>
          </cell>
          <cell r="F366">
            <v>41</v>
          </cell>
        </row>
        <row r="367">
          <cell r="B367">
            <v>31293</v>
          </cell>
          <cell r="C367" t="str">
            <v>RUFISQUE</v>
          </cell>
          <cell r="E367" t="str">
            <v>PCE</v>
          </cell>
          <cell r="F367">
            <v>54</v>
          </cell>
        </row>
        <row r="368">
          <cell r="B368">
            <v>31299</v>
          </cell>
          <cell r="C368" t="str">
            <v>RUFISQUE</v>
          </cell>
          <cell r="E368" t="str">
            <v>PCE</v>
          </cell>
          <cell r="F368">
            <v>34</v>
          </cell>
        </row>
        <row r="369">
          <cell r="B369">
            <v>31300</v>
          </cell>
          <cell r="C369" t="str">
            <v>RUFISQUE</v>
          </cell>
          <cell r="E369" t="str">
            <v>PCE</v>
          </cell>
          <cell r="F369">
            <v>5</v>
          </cell>
        </row>
        <row r="370">
          <cell r="B370">
            <v>31307</v>
          </cell>
          <cell r="C370" t="str">
            <v>RUFISQUE</v>
          </cell>
          <cell r="E370" t="str">
            <v>PCE</v>
          </cell>
          <cell r="F370">
            <v>880</v>
          </cell>
        </row>
        <row r="371">
          <cell r="B371">
            <v>31308</v>
          </cell>
          <cell r="C371" t="str">
            <v>RUFISQUE</v>
          </cell>
          <cell r="E371" t="str">
            <v>PCE</v>
          </cell>
          <cell r="F371">
            <v>200</v>
          </cell>
        </row>
        <row r="372">
          <cell r="B372">
            <v>31309</v>
          </cell>
          <cell r="C372" t="str">
            <v>RUFISQUE</v>
          </cell>
          <cell r="E372" t="str">
            <v>PCE</v>
          </cell>
          <cell r="F372">
            <v>240</v>
          </cell>
        </row>
        <row r="373">
          <cell r="B373">
            <v>31310</v>
          </cell>
          <cell r="C373" t="str">
            <v>RUFISQUE</v>
          </cell>
          <cell r="E373" t="str">
            <v>PCE</v>
          </cell>
          <cell r="F373">
            <v>194</v>
          </cell>
        </row>
        <row r="374">
          <cell r="B374">
            <v>31331</v>
          </cell>
          <cell r="C374" t="str">
            <v>RUFISQUE</v>
          </cell>
          <cell r="E374" t="str">
            <v>PCE</v>
          </cell>
          <cell r="F374">
            <v>5</v>
          </cell>
        </row>
        <row r="375">
          <cell r="B375">
            <v>31335</v>
          </cell>
          <cell r="C375" t="str">
            <v>RUFISQUE</v>
          </cell>
          <cell r="E375" t="str">
            <v>PCE</v>
          </cell>
          <cell r="F375">
            <v>800</v>
          </cell>
        </row>
        <row r="376">
          <cell r="B376">
            <v>31529</v>
          </cell>
          <cell r="C376" t="str">
            <v>RUFISQUE</v>
          </cell>
          <cell r="E376" t="str">
            <v>PCE</v>
          </cell>
          <cell r="F376">
            <v>100</v>
          </cell>
        </row>
        <row r="377">
          <cell r="B377">
            <v>31531</v>
          </cell>
          <cell r="C377" t="str">
            <v>RUFISQUE</v>
          </cell>
          <cell r="E377" t="str">
            <v>PCE</v>
          </cell>
          <cell r="F377">
            <v>5</v>
          </cell>
        </row>
        <row r="378">
          <cell r="B378">
            <v>31536</v>
          </cell>
          <cell r="C378" t="str">
            <v>RUFISQUE</v>
          </cell>
          <cell r="E378" t="str">
            <v>PCE</v>
          </cell>
          <cell r="F378">
            <v>48</v>
          </cell>
        </row>
        <row r="379">
          <cell r="B379">
            <v>31548</v>
          </cell>
          <cell r="C379" t="str">
            <v>RUFISQUE</v>
          </cell>
          <cell r="E379" t="str">
            <v>PCE</v>
          </cell>
          <cell r="F379">
            <v>2</v>
          </cell>
        </row>
        <row r="380">
          <cell r="B380">
            <v>31549</v>
          </cell>
          <cell r="C380" t="str">
            <v>RUFISQUE</v>
          </cell>
          <cell r="E380" t="str">
            <v>PCE</v>
          </cell>
          <cell r="F380">
            <v>5</v>
          </cell>
        </row>
        <row r="381">
          <cell r="B381">
            <v>31552</v>
          </cell>
          <cell r="C381" t="str">
            <v>RUFISQUE</v>
          </cell>
          <cell r="E381" t="str">
            <v>PCE</v>
          </cell>
          <cell r="F381">
            <v>80</v>
          </cell>
        </row>
        <row r="382">
          <cell r="B382">
            <v>31572</v>
          </cell>
          <cell r="C382" t="str">
            <v>RUFISQUE</v>
          </cell>
          <cell r="E382" t="str">
            <v>PCE</v>
          </cell>
          <cell r="F382">
            <v>6</v>
          </cell>
        </row>
        <row r="383">
          <cell r="B383">
            <v>31611</v>
          </cell>
          <cell r="C383" t="str">
            <v>RUFISQUE</v>
          </cell>
          <cell r="E383" t="str">
            <v>PCE</v>
          </cell>
          <cell r="F383">
            <v>9</v>
          </cell>
        </row>
        <row r="384">
          <cell r="B384">
            <v>31612</v>
          </cell>
          <cell r="C384" t="str">
            <v>RUFISQUE</v>
          </cell>
          <cell r="E384" t="str">
            <v>PCE</v>
          </cell>
          <cell r="F384">
            <v>12</v>
          </cell>
        </row>
        <row r="385">
          <cell r="B385">
            <v>31616</v>
          </cell>
          <cell r="C385" t="str">
            <v>RUFISQUE</v>
          </cell>
          <cell r="E385" t="str">
            <v>PCE</v>
          </cell>
          <cell r="F385">
            <v>10965</v>
          </cell>
        </row>
        <row r="386">
          <cell r="B386">
            <v>31640</v>
          </cell>
          <cell r="C386" t="str">
            <v>RUFISQUE</v>
          </cell>
          <cell r="E386" t="str">
            <v>PCE</v>
          </cell>
          <cell r="F386">
            <v>200</v>
          </cell>
        </row>
        <row r="387">
          <cell r="B387">
            <v>31641</v>
          </cell>
          <cell r="C387" t="str">
            <v>RUFISQUE</v>
          </cell>
          <cell r="E387" t="str">
            <v>PCE</v>
          </cell>
          <cell r="F387">
            <v>18</v>
          </cell>
        </row>
        <row r="388">
          <cell r="B388">
            <v>31643</v>
          </cell>
          <cell r="C388" t="str">
            <v>RUFISQUE</v>
          </cell>
          <cell r="E388" t="str">
            <v>PCE</v>
          </cell>
          <cell r="F388">
            <v>96000</v>
          </cell>
        </row>
        <row r="389">
          <cell r="B389">
            <v>31644</v>
          </cell>
          <cell r="C389" t="str">
            <v>RUFISQUE</v>
          </cell>
          <cell r="E389" t="str">
            <v>PCE</v>
          </cell>
          <cell r="F389">
            <v>680</v>
          </cell>
        </row>
        <row r="390">
          <cell r="B390">
            <v>31664</v>
          </cell>
          <cell r="C390" t="str">
            <v>RUFISQUE</v>
          </cell>
          <cell r="E390" t="str">
            <v>PCE</v>
          </cell>
          <cell r="F390">
            <v>10</v>
          </cell>
        </row>
        <row r="391">
          <cell r="B391">
            <v>31665</v>
          </cell>
          <cell r="C391" t="str">
            <v>RUFISQUE</v>
          </cell>
          <cell r="E391" t="str">
            <v>PCE</v>
          </cell>
          <cell r="F391">
            <v>16</v>
          </cell>
        </row>
        <row r="392">
          <cell r="B392">
            <v>31674</v>
          </cell>
          <cell r="C392" t="str">
            <v>RUFISQUE</v>
          </cell>
          <cell r="E392" t="str">
            <v>PCE</v>
          </cell>
          <cell r="F392">
            <v>10</v>
          </cell>
        </row>
        <row r="393">
          <cell r="B393">
            <v>31675</v>
          </cell>
          <cell r="C393" t="str">
            <v>RUFISQUE</v>
          </cell>
          <cell r="E393" t="str">
            <v>PCE</v>
          </cell>
          <cell r="F393">
            <v>82</v>
          </cell>
        </row>
        <row r="394">
          <cell r="B394">
            <v>31691</v>
          </cell>
          <cell r="C394" t="str">
            <v>RUFISQUE</v>
          </cell>
          <cell r="E394" t="str">
            <v>U</v>
          </cell>
          <cell r="F394">
            <v>2</v>
          </cell>
        </row>
        <row r="395">
          <cell r="B395">
            <v>31696</v>
          </cell>
          <cell r="C395" t="str">
            <v>RUFISQUE</v>
          </cell>
          <cell r="E395" t="str">
            <v>PCE</v>
          </cell>
          <cell r="F395">
            <v>13</v>
          </cell>
        </row>
        <row r="396">
          <cell r="B396">
            <v>31714</v>
          </cell>
          <cell r="C396" t="str">
            <v>RUFISQUE</v>
          </cell>
          <cell r="E396" t="str">
            <v>PCE</v>
          </cell>
          <cell r="F396">
            <v>1445</v>
          </cell>
        </row>
        <row r="397">
          <cell r="B397">
            <v>31718</v>
          </cell>
          <cell r="C397" t="str">
            <v>RUFISQUE</v>
          </cell>
          <cell r="E397" t="str">
            <v>PCE</v>
          </cell>
          <cell r="F397">
            <v>5</v>
          </cell>
        </row>
        <row r="398">
          <cell r="B398">
            <v>31738</v>
          </cell>
          <cell r="C398" t="str">
            <v>RUFISQUE</v>
          </cell>
          <cell r="E398" t="str">
            <v>PCE</v>
          </cell>
          <cell r="F398">
            <v>100</v>
          </cell>
        </row>
        <row r="399">
          <cell r="B399">
            <v>31740</v>
          </cell>
          <cell r="C399" t="str">
            <v>RUFISQUE</v>
          </cell>
          <cell r="E399" t="str">
            <v>PCE</v>
          </cell>
          <cell r="F399">
            <v>14</v>
          </cell>
        </row>
        <row r="400">
          <cell r="B400">
            <v>31817</v>
          </cell>
          <cell r="C400" t="str">
            <v>RUFISQUE</v>
          </cell>
          <cell r="E400" t="str">
            <v>PCE</v>
          </cell>
          <cell r="F400">
            <v>1</v>
          </cell>
        </row>
        <row r="401">
          <cell r="B401">
            <v>31824</v>
          </cell>
          <cell r="C401" t="str">
            <v>RUFISQUE</v>
          </cell>
          <cell r="E401" t="str">
            <v>PCE</v>
          </cell>
          <cell r="F401">
            <v>40</v>
          </cell>
        </row>
        <row r="402">
          <cell r="B402">
            <v>31826</v>
          </cell>
          <cell r="C402" t="str">
            <v>RUFISQUE</v>
          </cell>
          <cell r="E402" t="str">
            <v>PCE</v>
          </cell>
          <cell r="F402">
            <v>29</v>
          </cell>
        </row>
        <row r="403">
          <cell r="B403">
            <v>31840</v>
          </cell>
          <cell r="C403" t="str">
            <v>RUFISQUE</v>
          </cell>
          <cell r="E403" t="str">
            <v>PCE</v>
          </cell>
          <cell r="F403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232C-B709-4644-98A8-FFDBD3C7199A}">
  <dimension ref="A1:K527"/>
  <sheetViews>
    <sheetView tabSelected="1" workbookViewId="0">
      <selection activeCell="B20" sqref="B20"/>
    </sheetView>
  </sheetViews>
  <sheetFormatPr defaultColWidth="10.90625" defaultRowHeight="14.5" x14ac:dyDescent="0.35"/>
  <cols>
    <col min="2" max="2" width="43.7265625" customWidth="1"/>
    <col min="4" max="4" width="8.453125" customWidth="1"/>
    <col min="10" max="10" width="13.453125" customWidth="1"/>
    <col min="11" max="11" width="13.17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530</v>
      </c>
      <c r="F1" s="1" t="s">
        <v>531</v>
      </c>
      <c r="G1" s="1" t="s">
        <v>532</v>
      </c>
      <c r="H1" s="1" t="s">
        <v>533</v>
      </c>
      <c r="I1" s="2" t="s">
        <v>534</v>
      </c>
      <c r="J1" s="1" t="s">
        <v>535</v>
      </c>
      <c r="K1" s="1" t="s">
        <v>536</v>
      </c>
    </row>
    <row r="2" spans="1:11" x14ac:dyDescent="0.35">
      <c r="A2" s="3">
        <v>11</v>
      </c>
      <c r="B2" s="3" t="s">
        <v>6</v>
      </c>
      <c r="C2" s="3" t="s">
        <v>4</v>
      </c>
      <c r="D2" s="3" t="s">
        <v>5</v>
      </c>
      <c r="E2" s="3">
        <f>VLOOKUP(A2,[1]fnd_gfm_43298102!$B:$F,5,0)</f>
        <v>2</v>
      </c>
      <c r="F2" s="3"/>
      <c r="G2" s="3">
        <f>SUM(E2:F2)</f>
        <v>2</v>
      </c>
      <c r="H2" s="3">
        <f>VLOOKUP(A2,'[2]CUMP Articles'!$A:$H,8,0)</f>
        <v>6272.13414545454</v>
      </c>
      <c r="I2" s="3">
        <f>H2*G2</f>
        <v>12544.26829090908</v>
      </c>
      <c r="J2" s="3" t="str">
        <f>VLOOKUP(A2,'[3]Stock actif'!$A:$K,10,0)</f>
        <v>Oui</v>
      </c>
      <c r="K2" s="3" t="str">
        <f>VLOOKUP(A2,'[3]Stock actif'!$A:$K,11,0)</f>
        <v>Alcatel-Lucent</v>
      </c>
    </row>
    <row r="3" spans="1:11" x14ac:dyDescent="0.35">
      <c r="A3" s="3">
        <v>15</v>
      </c>
      <c r="B3" s="3" t="s">
        <v>7</v>
      </c>
      <c r="C3" s="3" t="s">
        <v>4</v>
      </c>
      <c r="D3" s="3" t="s">
        <v>5</v>
      </c>
      <c r="E3" s="3">
        <f>VLOOKUP(A3,[1]fnd_gfm_43298102!$B:$F,5,0)</f>
        <v>1</v>
      </c>
      <c r="F3" s="3">
        <f>VLOOKUP(A3,[4]fnd_gfm_43298103!$B:$F,5,0)</f>
        <v>2</v>
      </c>
      <c r="G3" s="3">
        <f t="shared" ref="G3:G66" si="0">SUM(E3:F3)</f>
        <v>3</v>
      </c>
      <c r="H3" s="3">
        <f>VLOOKUP(A3,'[2]CUMP Articles'!$A:$H,8,0)</f>
        <v>111731</v>
      </c>
      <c r="I3" s="3">
        <f t="shared" ref="I3:I66" si="1">H3*G3</f>
        <v>335193</v>
      </c>
      <c r="J3" s="3" t="str">
        <f>VLOOKUP(A3,'[3]Stock actif'!$A:$K,10,0)</f>
        <v>Oui</v>
      </c>
      <c r="K3" s="3" t="str">
        <f>VLOOKUP(A3,'[3]Stock actif'!$A:$K,11,0)</f>
        <v>Alcatel-Lucent</v>
      </c>
    </row>
    <row r="4" spans="1:11" x14ac:dyDescent="0.35">
      <c r="A4" s="3">
        <v>18</v>
      </c>
      <c r="B4" s="3" t="s">
        <v>8</v>
      </c>
      <c r="C4" s="3" t="s">
        <v>4</v>
      </c>
      <c r="D4" s="3" t="s">
        <v>5</v>
      </c>
      <c r="E4" s="3">
        <f>VLOOKUP(A4,[1]fnd_gfm_43298102!$B:$F,5,0)</f>
        <v>52</v>
      </c>
      <c r="F4" s="3">
        <f>VLOOKUP(A4,[4]fnd_gfm_43298103!$B:$F,5,0)</f>
        <v>300</v>
      </c>
      <c r="G4" s="3">
        <f t="shared" si="0"/>
        <v>352</v>
      </c>
      <c r="H4" s="3">
        <f>VLOOKUP(A4,'[2]CUMP Articles'!$A:$H,8,0)</f>
        <v>6139.7575200000001</v>
      </c>
      <c r="I4" s="3">
        <f t="shared" si="1"/>
        <v>2161194.6470400002</v>
      </c>
      <c r="J4" s="3" t="str">
        <f>VLOOKUP(A4,'[3]Stock actif'!$A:$K,10,0)</f>
        <v>Oui</v>
      </c>
      <c r="K4" s="3" t="str">
        <f>VLOOKUP(A4,'[3]Stock actif'!$A:$K,11,0)</f>
        <v>Alcatel-Lucent</v>
      </c>
    </row>
    <row r="5" spans="1:11" x14ac:dyDescent="0.35">
      <c r="A5" s="3">
        <v>19</v>
      </c>
      <c r="B5" s="3" t="s">
        <v>9</v>
      </c>
      <c r="C5" s="3" t="s">
        <v>4</v>
      </c>
      <c r="D5" s="3" t="s">
        <v>5</v>
      </c>
      <c r="E5" s="3">
        <f>VLOOKUP(A5,[1]fnd_gfm_43298102!$B:$F,5,0)</f>
        <v>1</v>
      </c>
      <c r="F5" s="3">
        <f>VLOOKUP(A5,[4]fnd_gfm_43298103!$B:$F,5,0)</f>
        <v>13</v>
      </c>
      <c r="G5" s="3">
        <f t="shared" si="0"/>
        <v>14</v>
      </c>
      <c r="H5" s="3">
        <f>VLOOKUP(A5,'[2]CUMP Articles'!$A:$H,8,0)</f>
        <v>28782</v>
      </c>
      <c r="I5" s="3">
        <f t="shared" si="1"/>
        <v>402948</v>
      </c>
      <c r="J5" s="3" t="str">
        <f>VLOOKUP(A5,'[3]Stock actif'!$A:$K,10,0)</f>
        <v>Oui</v>
      </c>
      <c r="K5" s="3" t="str">
        <f>VLOOKUP(A5,'[3]Stock actif'!$A:$K,11,0)</f>
        <v>Alcatel-Lucent</v>
      </c>
    </row>
    <row r="6" spans="1:11" x14ac:dyDescent="0.35">
      <c r="A6" s="3">
        <v>38</v>
      </c>
      <c r="B6" s="3" t="s">
        <v>10</v>
      </c>
      <c r="C6" s="3" t="s">
        <v>4</v>
      </c>
      <c r="D6" s="3" t="s">
        <v>5</v>
      </c>
      <c r="E6" s="3">
        <f>VLOOKUP(A6,[1]fnd_gfm_43298102!$B:$F,5,0)</f>
        <v>15</v>
      </c>
      <c r="F6" s="3">
        <f>VLOOKUP(A6,[4]fnd_gfm_43298103!$B:$F,5,0)</f>
        <v>25</v>
      </c>
      <c r="G6" s="3">
        <f t="shared" si="0"/>
        <v>40</v>
      </c>
      <c r="H6" s="3">
        <f>VLOOKUP(A6,'[2]CUMP Articles'!$A:$H,8,0)</f>
        <v>40710.102500000001</v>
      </c>
      <c r="I6" s="3">
        <f t="shared" si="1"/>
        <v>1628404.1</v>
      </c>
      <c r="J6" s="3" t="str">
        <f>VLOOKUP(A6,'[3]Stock actif'!$A:$K,10,0)</f>
        <v>Oui</v>
      </c>
      <c r="K6" s="3" t="str">
        <f>VLOOKUP(A6,'[3]Stock actif'!$A:$K,11,0)</f>
        <v>Générique</v>
      </c>
    </row>
    <row r="7" spans="1:11" x14ac:dyDescent="0.35">
      <c r="A7" s="3">
        <v>40</v>
      </c>
      <c r="B7" s="3" t="s">
        <v>11</v>
      </c>
      <c r="C7" s="3" t="s">
        <v>4</v>
      </c>
      <c r="D7" s="3" t="s">
        <v>5</v>
      </c>
      <c r="E7" s="3"/>
      <c r="F7" s="3">
        <f>VLOOKUP(A7,[4]fnd_gfm_43298103!$B:$F,5,0)</f>
        <v>5</v>
      </c>
      <c r="G7" s="3">
        <f t="shared" si="0"/>
        <v>5</v>
      </c>
      <c r="H7" s="3">
        <f>VLOOKUP(A7,'[2]CUMP Articles'!$A:$H,8,0)</f>
        <v>107332</v>
      </c>
      <c r="I7" s="3">
        <f t="shared" si="1"/>
        <v>536660</v>
      </c>
      <c r="J7" s="3" t="str">
        <f>VLOOKUP(A7,'[3]Stock actif'!$A:$K,10,0)</f>
        <v>Oui</v>
      </c>
      <c r="K7" s="3" t="str">
        <f>VLOOKUP(A7,'[3]Stock actif'!$A:$K,11,0)</f>
        <v>Générique</v>
      </c>
    </row>
    <row r="8" spans="1:11" x14ac:dyDescent="0.35">
      <c r="A8" s="3">
        <v>42</v>
      </c>
      <c r="B8" s="3" t="s">
        <v>12</v>
      </c>
      <c r="C8" s="3" t="s">
        <v>4</v>
      </c>
      <c r="D8" s="3" t="s">
        <v>5</v>
      </c>
      <c r="E8" s="3"/>
      <c r="F8" s="3">
        <f>VLOOKUP(A8,[4]fnd_gfm_43298103!$B:$F,5,0)</f>
        <v>10</v>
      </c>
      <c r="G8" s="3">
        <f t="shared" si="0"/>
        <v>10</v>
      </c>
      <c r="H8" s="3">
        <f>VLOOKUP(A8,'[2]CUMP Articles'!$A:$H,8,0)</f>
        <v>68330</v>
      </c>
      <c r="I8" s="3">
        <f t="shared" si="1"/>
        <v>683300</v>
      </c>
      <c r="J8" s="3" t="str">
        <f>VLOOKUP(A8,'[3]Stock actif'!$A:$K,10,0)</f>
        <v>Oui</v>
      </c>
      <c r="K8" s="3" t="str">
        <f>VLOOKUP(A8,'[3]Stock actif'!$A:$K,11,0)</f>
        <v>Générique</v>
      </c>
    </row>
    <row r="9" spans="1:11" x14ac:dyDescent="0.35">
      <c r="A9" s="3">
        <v>133</v>
      </c>
      <c r="B9" s="3" t="s">
        <v>14</v>
      </c>
      <c r="C9" s="3" t="s">
        <v>4</v>
      </c>
      <c r="D9" s="3" t="s">
        <v>13</v>
      </c>
      <c r="E9" s="3"/>
      <c r="F9" s="3">
        <f>VLOOKUP(A9,[4]fnd_gfm_43298103!$B:$F,5,0)</f>
        <v>132</v>
      </c>
      <c r="G9" s="3">
        <f t="shared" si="0"/>
        <v>132</v>
      </c>
      <c r="H9" s="3">
        <f>VLOOKUP(A9,'[2]CUMP Articles'!$A:$H,8,0)</f>
        <v>3921.4160000000002</v>
      </c>
      <c r="I9" s="3">
        <f t="shared" si="1"/>
        <v>517626.91200000001</v>
      </c>
      <c r="J9" s="3" t="str">
        <f>VLOOKUP(A9,'[3]Stock actif'!$A:$K,10,0)</f>
        <v>Oui</v>
      </c>
      <c r="K9" s="3" t="str">
        <f>VLOOKUP(A9,'[3]Stock actif'!$A:$K,11,0)</f>
        <v>Générique</v>
      </c>
    </row>
    <row r="10" spans="1:11" x14ac:dyDescent="0.35">
      <c r="A10" s="3">
        <v>174</v>
      </c>
      <c r="B10" s="3" t="s">
        <v>15</v>
      </c>
      <c r="C10" s="3" t="s">
        <v>4</v>
      </c>
      <c r="D10" s="3" t="s">
        <v>13</v>
      </c>
      <c r="E10" s="3"/>
      <c r="F10" s="3">
        <f>VLOOKUP(A10,[4]fnd_gfm_43298103!$B:$F,5,0)</f>
        <v>8628</v>
      </c>
      <c r="G10" s="3">
        <f t="shared" si="0"/>
        <v>8628</v>
      </c>
      <c r="H10" s="3">
        <f>VLOOKUP(A10,'[2]CUMP Articles'!$A:$H,8,0)</f>
        <v>89</v>
      </c>
      <c r="I10" s="3">
        <f t="shared" si="1"/>
        <v>767892</v>
      </c>
      <c r="J10" s="3" t="str">
        <f>VLOOKUP(A10,'[3]Stock actif'!$A:$K,10,0)</f>
        <v>Oui</v>
      </c>
      <c r="K10" s="3" t="str">
        <f>VLOOKUP(A10,'[3]Stock actif'!$A:$K,11,0)</f>
        <v>Générique</v>
      </c>
    </row>
    <row r="11" spans="1:11" x14ac:dyDescent="0.35">
      <c r="A11" s="3">
        <v>181</v>
      </c>
      <c r="B11" s="3" t="s">
        <v>16</v>
      </c>
      <c r="C11" s="3" t="s">
        <v>4</v>
      </c>
      <c r="D11" s="3" t="s">
        <v>13</v>
      </c>
      <c r="E11" s="3"/>
      <c r="F11" s="3">
        <f>VLOOKUP(A11,[4]fnd_gfm_43298103!$B:$F,5,0)</f>
        <v>194</v>
      </c>
      <c r="G11" s="3">
        <f t="shared" si="0"/>
        <v>194</v>
      </c>
      <c r="H11" s="3">
        <f>VLOOKUP(A11,'[2]CUMP Articles'!$A:$H,8,0)</f>
        <v>939</v>
      </c>
      <c r="I11" s="3">
        <f t="shared" si="1"/>
        <v>182166</v>
      </c>
      <c r="J11" s="3" t="str">
        <f>VLOOKUP(A11,'[3]Stock actif'!$A:$K,10,0)</f>
        <v>Oui</v>
      </c>
      <c r="K11" s="3" t="str">
        <f>VLOOKUP(A11,'[3]Stock actif'!$A:$K,11,0)</f>
        <v>Générique</v>
      </c>
    </row>
    <row r="12" spans="1:11" x14ac:dyDescent="0.35">
      <c r="A12" s="3">
        <v>192</v>
      </c>
      <c r="B12" s="3" t="s">
        <v>17</v>
      </c>
      <c r="C12" s="3" t="s">
        <v>4</v>
      </c>
      <c r="D12" s="3" t="s">
        <v>13</v>
      </c>
      <c r="E12" s="3"/>
      <c r="F12" s="3">
        <f>VLOOKUP(A12,[4]fnd_gfm_43298103!$B:$F,5,0)</f>
        <v>214</v>
      </c>
      <c r="G12" s="3">
        <f t="shared" si="0"/>
        <v>214</v>
      </c>
      <c r="H12" s="3">
        <f>VLOOKUP(A12,'[2]CUMP Articles'!$A:$H,8,0)</f>
        <v>139</v>
      </c>
      <c r="I12" s="3">
        <f t="shared" si="1"/>
        <v>29746</v>
      </c>
      <c r="J12" s="3" t="str">
        <f>VLOOKUP(A12,'[3]Stock actif'!$A:$K,10,0)</f>
        <v>Non</v>
      </c>
      <c r="K12" s="3" t="str">
        <f>VLOOKUP(A12,'[3]Stock actif'!$A:$K,11,0)</f>
        <v>Générique</v>
      </c>
    </row>
    <row r="13" spans="1:11" x14ac:dyDescent="0.35">
      <c r="A13" s="3">
        <v>236</v>
      </c>
      <c r="B13" s="3" t="s">
        <v>18</v>
      </c>
      <c r="C13" s="3" t="s">
        <v>4</v>
      </c>
      <c r="D13" s="3" t="s">
        <v>5</v>
      </c>
      <c r="E13" s="3">
        <f>VLOOKUP(A13,[1]fnd_gfm_43298102!$B:$F,5,0)</f>
        <v>732</v>
      </c>
      <c r="F13" s="3">
        <f>VLOOKUP(A13,[4]fnd_gfm_43298103!$B:$F,5,0)</f>
        <v>2900</v>
      </c>
      <c r="G13" s="3">
        <f t="shared" si="0"/>
        <v>3632</v>
      </c>
      <c r="H13" s="3">
        <f>VLOOKUP(A13,'[2]CUMP Articles'!$A:$H,8,0)</f>
        <v>75</v>
      </c>
      <c r="I13" s="3">
        <f t="shared" si="1"/>
        <v>272400</v>
      </c>
      <c r="J13" s="3" t="str">
        <f>VLOOKUP(A13,'[3]Stock actif'!$A:$K,10,0)</f>
        <v>Non</v>
      </c>
      <c r="K13" s="3" t="str">
        <f>VLOOKUP(A13,'[3]Stock actif'!$A:$K,11,0)</f>
        <v>Générique</v>
      </c>
    </row>
    <row r="14" spans="1:11" x14ac:dyDescent="0.35">
      <c r="A14" s="3">
        <v>251</v>
      </c>
      <c r="B14" s="3" t="s">
        <v>19</v>
      </c>
      <c r="C14" s="3" t="s">
        <v>4</v>
      </c>
      <c r="D14" s="3" t="s">
        <v>5</v>
      </c>
      <c r="E14" s="3">
        <f>VLOOKUP(A14,[1]fnd_gfm_43298102!$B:$F,5,0)</f>
        <v>1011</v>
      </c>
      <c r="F14" s="3">
        <f>VLOOKUP(A14,[4]fnd_gfm_43298103!$B:$F,5,0)</f>
        <v>1934</v>
      </c>
      <c r="G14" s="3">
        <f t="shared" si="0"/>
        <v>2945</v>
      </c>
      <c r="H14" s="3">
        <f>VLOOKUP(A14,'[2]CUMP Articles'!$A:$H,8,0)</f>
        <v>20</v>
      </c>
      <c r="I14" s="3">
        <f t="shared" si="1"/>
        <v>58900</v>
      </c>
      <c r="J14" s="3" t="str">
        <f>VLOOKUP(A14,'[3]Stock actif'!$A:$K,10,0)</f>
        <v>Non</v>
      </c>
      <c r="K14" s="3" t="str">
        <f>VLOOKUP(A14,'[3]Stock actif'!$A:$K,11,0)</f>
        <v>Générique</v>
      </c>
    </row>
    <row r="15" spans="1:11" x14ac:dyDescent="0.35">
      <c r="A15" s="3">
        <v>258</v>
      </c>
      <c r="B15" s="3" t="s">
        <v>20</v>
      </c>
      <c r="C15" s="3" t="s">
        <v>4</v>
      </c>
      <c r="D15" s="3" t="s">
        <v>5</v>
      </c>
      <c r="E15" s="3"/>
      <c r="F15" s="3">
        <f>VLOOKUP(A15,[4]fnd_gfm_43298103!$B:$F,5,0)</f>
        <v>5643</v>
      </c>
      <c r="G15" s="3">
        <f t="shared" si="0"/>
        <v>5643</v>
      </c>
      <c r="H15" s="3">
        <f>VLOOKUP(A15,'[2]CUMP Articles'!$A:$H,8,0)</f>
        <v>32</v>
      </c>
      <c r="I15" s="3">
        <f t="shared" si="1"/>
        <v>180576</v>
      </c>
      <c r="J15" s="3" t="str">
        <f>VLOOKUP(A15,'[3]Stock actif'!$A:$K,10,0)</f>
        <v>Non</v>
      </c>
      <c r="K15" s="3" t="str">
        <f>VLOOKUP(A15,'[3]Stock actif'!$A:$K,11,0)</f>
        <v>Générique</v>
      </c>
    </row>
    <row r="16" spans="1:11" x14ac:dyDescent="0.35">
      <c r="A16" s="3">
        <v>259</v>
      </c>
      <c r="B16" s="3" t="s">
        <v>21</v>
      </c>
      <c r="C16" s="3" t="s">
        <v>4</v>
      </c>
      <c r="D16" s="3" t="s">
        <v>5</v>
      </c>
      <c r="E16" s="3">
        <f>VLOOKUP(A16,[1]fnd_gfm_43298102!$B:$F,5,0)</f>
        <v>4242</v>
      </c>
      <c r="F16" s="3">
        <f>VLOOKUP(A16,[4]fnd_gfm_43298103!$B:$F,5,0)</f>
        <v>5000</v>
      </c>
      <c r="G16" s="3">
        <f t="shared" si="0"/>
        <v>9242</v>
      </c>
      <c r="H16" s="3">
        <f>VLOOKUP(A16,'[2]CUMP Articles'!$A:$H,8,0)</f>
        <v>98.575244293490201</v>
      </c>
      <c r="I16" s="3">
        <f t="shared" si="1"/>
        <v>911032.40776043641</v>
      </c>
      <c r="J16" s="3" t="str">
        <f>VLOOKUP(A16,'[3]Stock actif'!$A:$K,10,0)</f>
        <v>Non</v>
      </c>
      <c r="K16" s="3" t="str">
        <f>VLOOKUP(A16,'[3]Stock actif'!$A:$K,11,0)</f>
        <v>Générique</v>
      </c>
    </row>
    <row r="17" spans="1:11" x14ac:dyDescent="0.35">
      <c r="A17" s="3">
        <v>304</v>
      </c>
      <c r="B17" s="3" t="s">
        <v>22</v>
      </c>
      <c r="C17" s="3" t="s">
        <v>4</v>
      </c>
      <c r="D17" s="3" t="s">
        <v>5</v>
      </c>
      <c r="E17" s="3">
        <f>VLOOKUP(A17,[1]fnd_gfm_43298102!$B:$F,5,0)</f>
        <v>8</v>
      </c>
      <c r="F17" s="3">
        <f>VLOOKUP(A17,[4]fnd_gfm_43298103!$B:$F,5,0)</f>
        <v>5191</v>
      </c>
      <c r="G17" s="3">
        <f t="shared" si="0"/>
        <v>5199</v>
      </c>
      <c r="H17" s="3">
        <f>VLOOKUP(A17,'[2]CUMP Articles'!$A:$H,8,0)</f>
        <v>1500</v>
      </c>
      <c r="I17" s="3">
        <f t="shared" si="1"/>
        <v>7798500</v>
      </c>
      <c r="J17" s="3" t="str">
        <f>VLOOKUP(A17,'[3]Stock actif'!$A:$K,10,0)</f>
        <v>Non</v>
      </c>
      <c r="K17" s="3" t="str">
        <f>VLOOKUP(A17,'[3]Stock actif'!$A:$K,11,0)</f>
        <v>Générique</v>
      </c>
    </row>
    <row r="18" spans="1:11" x14ac:dyDescent="0.35">
      <c r="A18" s="3">
        <v>307</v>
      </c>
      <c r="B18" s="3" t="s">
        <v>23</v>
      </c>
      <c r="C18" s="3" t="s">
        <v>4</v>
      </c>
      <c r="D18" s="3" t="s">
        <v>5</v>
      </c>
      <c r="E18" s="3">
        <f>VLOOKUP(A18,[1]fnd_gfm_43298102!$B:$F,5,0)</f>
        <v>3</v>
      </c>
      <c r="F18" s="3">
        <f>VLOOKUP(A18,[4]fnd_gfm_43298103!$B:$F,5,0)</f>
        <v>27</v>
      </c>
      <c r="G18" s="3">
        <f t="shared" si="0"/>
        <v>30</v>
      </c>
      <c r="H18" s="3">
        <f>VLOOKUP(A18,'[2]CUMP Articles'!$A:$H,8,0)</f>
        <v>867</v>
      </c>
      <c r="I18" s="3">
        <f t="shared" si="1"/>
        <v>26010</v>
      </c>
      <c r="J18" s="3" t="str">
        <f>VLOOKUP(A18,'[3]Stock actif'!$A:$K,10,0)</f>
        <v>Non</v>
      </c>
      <c r="K18" s="3" t="str">
        <f>VLOOKUP(A18,'[3]Stock actif'!$A:$K,11,0)</f>
        <v>Générique</v>
      </c>
    </row>
    <row r="19" spans="1:11" x14ac:dyDescent="0.35">
      <c r="A19" s="3">
        <v>321</v>
      </c>
      <c r="B19" s="3" t="s">
        <v>24</v>
      </c>
      <c r="C19" s="3" t="s">
        <v>4</v>
      </c>
      <c r="D19" s="3" t="s">
        <v>5</v>
      </c>
      <c r="E19" s="3">
        <f>VLOOKUP(A19,[1]fnd_gfm_43298102!$B:$F,5,0)</f>
        <v>7900</v>
      </c>
      <c r="F19" s="3"/>
      <c r="G19" s="3">
        <f t="shared" si="0"/>
        <v>7900</v>
      </c>
      <c r="H19" s="3">
        <f>VLOOKUP(A19,'[2]CUMP Articles'!$A:$H,8,0)</f>
        <v>8</v>
      </c>
      <c r="I19" s="3">
        <f t="shared" si="1"/>
        <v>63200</v>
      </c>
      <c r="J19" s="3" t="str">
        <f>VLOOKUP(A19,'[3]Stock actif'!$A:$K,10,0)</f>
        <v>non</v>
      </c>
      <c r="K19" s="3" t="str">
        <f>VLOOKUP(A19,'[3]Stock actif'!$A:$K,11,0)</f>
        <v>Générique</v>
      </c>
    </row>
    <row r="20" spans="1:11" x14ac:dyDescent="0.35">
      <c r="A20" s="3">
        <v>361</v>
      </c>
      <c r="B20" s="3" t="s">
        <v>25</v>
      </c>
      <c r="C20" s="3" t="s">
        <v>4</v>
      </c>
      <c r="D20" s="3" t="s">
        <v>5</v>
      </c>
      <c r="E20" s="3">
        <f>VLOOKUP(A20,[1]fnd_gfm_43298102!$B:$F,5,0)</f>
        <v>17</v>
      </c>
      <c r="F20" s="3">
        <f>VLOOKUP(A20,[4]fnd_gfm_43298103!$B:$F,5,0)</f>
        <v>1475</v>
      </c>
      <c r="G20" s="3">
        <f t="shared" si="0"/>
        <v>1492</v>
      </c>
      <c r="H20" s="3">
        <f>VLOOKUP(A20,'[2]CUMP Articles'!$A:$H,8,0)</f>
        <v>1274</v>
      </c>
      <c r="I20" s="3">
        <f t="shared" si="1"/>
        <v>1900808</v>
      </c>
      <c r="J20" s="3" t="str">
        <f>VLOOKUP(A20,'[3]Stock actif'!$A:$K,10,0)</f>
        <v>Non</v>
      </c>
      <c r="K20" s="3" t="str">
        <f>VLOOKUP(A20,'[3]Stock actif'!$A:$K,11,0)</f>
        <v>Générique</v>
      </c>
    </row>
    <row r="21" spans="1:11" x14ac:dyDescent="0.35">
      <c r="A21" s="3">
        <v>368</v>
      </c>
      <c r="B21" s="3" t="s">
        <v>26</v>
      </c>
      <c r="C21" s="3" t="s">
        <v>4</v>
      </c>
      <c r="D21" s="3" t="s">
        <v>5</v>
      </c>
      <c r="E21" s="3"/>
      <c r="F21" s="3">
        <f>VLOOKUP(A21,[4]fnd_gfm_43298103!$B:$F,5,0)</f>
        <v>47</v>
      </c>
      <c r="G21" s="3">
        <f t="shared" si="0"/>
        <v>47</v>
      </c>
      <c r="H21" s="3">
        <f>VLOOKUP(A21,'[2]CUMP Articles'!$A:$H,8,0)</f>
        <v>6250</v>
      </c>
      <c r="I21" s="3">
        <f t="shared" si="1"/>
        <v>293750</v>
      </c>
      <c r="J21" s="3" t="str">
        <f>VLOOKUP(A21,'[3]Stock actif'!$A:$K,10,0)</f>
        <v>Non</v>
      </c>
      <c r="K21" s="3" t="str">
        <f>VLOOKUP(A21,'[3]Stock actif'!$A:$K,11,0)</f>
        <v>Générique</v>
      </c>
    </row>
    <row r="22" spans="1:11" x14ac:dyDescent="0.35">
      <c r="A22" s="3">
        <v>377</v>
      </c>
      <c r="B22" s="3" t="s">
        <v>27</v>
      </c>
      <c r="C22" s="3" t="s">
        <v>4</v>
      </c>
      <c r="D22" s="3" t="s">
        <v>5</v>
      </c>
      <c r="E22" s="3"/>
      <c r="F22" s="3">
        <f>VLOOKUP(A22,[4]fnd_gfm_43298103!$B:$F,5,0)</f>
        <v>134</v>
      </c>
      <c r="G22" s="3">
        <f t="shared" si="0"/>
        <v>134</v>
      </c>
      <c r="H22" s="3">
        <f>VLOOKUP(A22,'[2]CUMP Articles'!$A:$H,8,0)</f>
        <v>19416</v>
      </c>
      <c r="I22" s="3">
        <f t="shared" si="1"/>
        <v>2601744</v>
      </c>
      <c r="J22" s="3" t="str">
        <f>VLOOKUP(A22,'[3]Stock actif'!$A:$K,10,0)</f>
        <v>Oui</v>
      </c>
      <c r="K22" s="3" t="str">
        <f>VLOOKUP(A22,'[3]Stock actif'!$A:$K,11,0)</f>
        <v>Générique</v>
      </c>
    </row>
    <row r="23" spans="1:11" x14ac:dyDescent="0.35">
      <c r="A23" s="3">
        <v>379</v>
      </c>
      <c r="B23" s="3" t="s">
        <v>28</v>
      </c>
      <c r="C23" s="3" t="s">
        <v>4</v>
      </c>
      <c r="D23" s="3" t="s">
        <v>5</v>
      </c>
      <c r="E23" s="3"/>
      <c r="F23" s="3">
        <f>VLOOKUP(A23,[4]fnd_gfm_43298103!$B:$F,5,0)</f>
        <v>64</v>
      </c>
      <c r="G23" s="3">
        <f t="shared" si="0"/>
        <v>64</v>
      </c>
      <c r="H23" s="3">
        <f>VLOOKUP(A23,'[2]CUMP Articles'!$A:$H,8,0)</f>
        <v>29006</v>
      </c>
      <c r="I23" s="3">
        <f t="shared" si="1"/>
        <v>1856384</v>
      </c>
      <c r="J23" s="3" t="str">
        <f>VLOOKUP(A23,'[3]Stock actif'!$A:$K,10,0)</f>
        <v>Oui</v>
      </c>
      <c r="K23" s="3" t="str">
        <f>VLOOKUP(A23,'[3]Stock actif'!$A:$K,11,0)</f>
        <v>Générique</v>
      </c>
    </row>
    <row r="24" spans="1:11" x14ac:dyDescent="0.35">
      <c r="A24" s="3">
        <v>381</v>
      </c>
      <c r="B24" s="3" t="s">
        <v>29</v>
      </c>
      <c r="C24" s="3" t="s">
        <v>4</v>
      </c>
      <c r="D24" s="3" t="s">
        <v>5</v>
      </c>
      <c r="E24" s="3"/>
      <c r="F24" s="3">
        <f>VLOOKUP(A24,[4]fnd_gfm_43298103!$B:$F,5,0)</f>
        <v>321</v>
      </c>
      <c r="G24" s="3">
        <f t="shared" si="0"/>
        <v>321</v>
      </c>
      <c r="H24" s="3">
        <f>VLOOKUP(A24,'[2]CUMP Articles'!$A:$H,8,0)</f>
        <v>1575</v>
      </c>
      <c r="I24" s="3">
        <f t="shared" si="1"/>
        <v>505575</v>
      </c>
      <c r="J24" s="3" t="str">
        <f>VLOOKUP(A24,'[3]Stock actif'!$A:$K,10,0)</f>
        <v>Oui</v>
      </c>
      <c r="K24" s="3" t="str">
        <f>VLOOKUP(A24,'[3]Stock actif'!$A:$K,11,0)</f>
        <v>Nexans</v>
      </c>
    </row>
    <row r="25" spans="1:11" x14ac:dyDescent="0.35">
      <c r="A25" s="3">
        <v>472</v>
      </c>
      <c r="B25" s="3" t="s">
        <v>30</v>
      </c>
      <c r="C25" s="3" t="s">
        <v>4</v>
      </c>
      <c r="D25" s="3" t="s">
        <v>5</v>
      </c>
      <c r="E25" s="3">
        <f>VLOOKUP(A25,[1]fnd_gfm_43298102!$B:$F,5,0)</f>
        <v>41</v>
      </c>
      <c r="F25" s="3"/>
      <c r="G25" s="3">
        <f t="shared" si="0"/>
        <v>41</v>
      </c>
      <c r="H25" s="3">
        <f>VLOOKUP(A25,'[2]CUMP Articles'!$A:$H,8,0)</f>
        <v>100</v>
      </c>
      <c r="I25" s="3">
        <f t="shared" si="1"/>
        <v>4100</v>
      </c>
      <c r="J25" s="3" t="str">
        <f>VLOOKUP(A25,'[3]Stock actif'!$A:$K,10,0)</f>
        <v>non</v>
      </c>
      <c r="K25" s="3" t="str">
        <f>VLOOKUP(A25,'[3]Stock actif'!$A:$K,11,0)</f>
        <v>Générique</v>
      </c>
    </row>
    <row r="26" spans="1:11" x14ac:dyDescent="0.35">
      <c r="A26" s="3">
        <v>481</v>
      </c>
      <c r="B26" s="3" t="s">
        <v>31</v>
      </c>
      <c r="C26" s="3" t="s">
        <v>4</v>
      </c>
      <c r="D26" s="3" t="s">
        <v>5</v>
      </c>
      <c r="E26" s="3">
        <f>VLOOKUP(A26,[1]fnd_gfm_43298102!$B:$F,5,0)</f>
        <v>5000</v>
      </c>
      <c r="F26" s="3"/>
      <c r="G26" s="3">
        <f t="shared" si="0"/>
        <v>5000</v>
      </c>
      <c r="H26" s="3">
        <f>VLOOKUP(A26,'[2]CUMP Articles'!$A:$H,8,0)</f>
        <v>57.019937991990702</v>
      </c>
      <c r="I26" s="3">
        <f t="shared" si="1"/>
        <v>285099.68995995348</v>
      </c>
      <c r="J26" s="3" t="str">
        <f>VLOOKUP(A26,'[3]Stock actif'!$A:$K,10,0)</f>
        <v>Non</v>
      </c>
      <c r="K26" s="3" t="str">
        <f>VLOOKUP(A26,'[3]Stock actif'!$A:$K,11,0)</f>
        <v>Générique</v>
      </c>
    </row>
    <row r="27" spans="1:11" x14ac:dyDescent="0.35">
      <c r="A27" s="3">
        <v>527</v>
      </c>
      <c r="B27" s="3" t="s">
        <v>32</v>
      </c>
      <c r="C27" s="3" t="s">
        <v>4</v>
      </c>
      <c r="D27" s="3" t="s">
        <v>5</v>
      </c>
      <c r="E27" s="3">
        <f>VLOOKUP(A27,[1]fnd_gfm_43298102!$B:$F,5,0)</f>
        <v>84</v>
      </c>
      <c r="F27" s="3">
        <f>VLOOKUP(A27,[4]fnd_gfm_43298103!$B:$F,5,0)</f>
        <v>1872</v>
      </c>
      <c r="G27" s="3">
        <f t="shared" si="0"/>
        <v>1956</v>
      </c>
      <c r="H27" s="3">
        <f>VLOOKUP(A27,'[2]CUMP Articles'!$A:$H,8,0)</f>
        <v>2286.1172336452601</v>
      </c>
      <c r="I27" s="3">
        <f t="shared" si="1"/>
        <v>4471645.3090101285</v>
      </c>
      <c r="J27" s="3" t="str">
        <f>VLOOKUP(A27,'[3]Stock actif'!$A:$K,10,0)</f>
        <v>Oui</v>
      </c>
      <c r="K27" s="3" t="str">
        <f>VLOOKUP(A27,'[3]Stock actif'!$A:$K,11,0)</f>
        <v>Nexans</v>
      </c>
    </row>
    <row r="28" spans="1:11" x14ac:dyDescent="0.35">
      <c r="A28" s="3">
        <v>540</v>
      </c>
      <c r="B28" s="3" t="s">
        <v>33</v>
      </c>
      <c r="C28" s="3" t="s">
        <v>4</v>
      </c>
      <c r="D28" s="3" t="s">
        <v>5</v>
      </c>
      <c r="E28" s="3">
        <f>VLOOKUP(A28,[1]fnd_gfm_43298102!$B:$F,5,0)</f>
        <v>1</v>
      </c>
      <c r="F28" s="3">
        <f>VLOOKUP(A28,[4]fnd_gfm_43298103!$B:$F,5,0)</f>
        <v>21</v>
      </c>
      <c r="G28" s="3">
        <f t="shared" si="0"/>
        <v>22</v>
      </c>
      <c r="H28" s="3">
        <f>VLOOKUP(A28,'[2]CUMP Articles'!$A:$H,8,0)</f>
        <v>48993</v>
      </c>
      <c r="I28" s="3">
        <f t="shared" si="1"/>
        <v>1077846</v>
      </c>
      <c r="J28" s="3" t="str">
        <f>VLOOKUP(A28,'[3]Stock actif'!$A:$K,10,0)</f>
        <v>Oui</v>
      </c>
      <c r="K28" s="3" t="str">
        <f>VLOOKUP(A28,'[3]Stock actif'!$A:$K,11,0)</f>
        <v>Nexans</v>
      </c>
    </row>
    <row r="29" spans="1:11" x14ac:dyDescent="0.35">
      <c r="A29" s="3">
        <v>1463</v>
      </c>
      <c r="B29" s="3" t="s">
        <v>34</v>
      </c>
      <c r="C29" s="3" t="s">
        <v>4</v>
      </c>
      <c r="D29" s="3" t="s">
        <v>5</v>
      </c>
      <c r="E29" s="3"/>
      <c r="F29" s="3">
        <f>VLOOKUP(A29,[4]fnd_gfm_43298103!$B:$F,5,0)</f>
        <v>24</v>
      </c>
      <c r="G29" s="3">
        <f t="shared" si="0"/>
        <v>24</v>
      </c>
      <c r="H29" s="3">
        <f>VLOOKUP(A29,'[2]CUMP Articles'!$A:$H,8,0)</f>
        <v>888.02372881355905</v>
      </c>
      <c r="I29" s="3">
        <f t="shared" si="1"/>
        <v>21312.569491525417</v>
      </c>
      <c r="J29" s="3" t="str">
        <f>VLOOKUP(A29,'[3]Stock actif'!$A:$K,10,0)</f>
        <v>Non</v>
      </c>
      <c r="K29" s="3" t="str">
        <f>VLOOKUP(A29,'[3]Stock actif'!$A:$K,11,0)</f>
        <v>Générique</v>
      </c>
    </row>
    <row r="30" spans="1:11" x14ac:dyDescent="0.35">
      <c r="A30" s="3">
        <v>1505</v>
      </c>
      <c r="B30" s="3" t="s">
        <v>36</v>
      </c>
      <c r="C30" s="3" t="s">
        <v>4</v>
      </c>
      <c r="D30" s="3" t="s">
        <v>5</v>
      </c>
      <c r="E30" s="3"/>
      <c r="F30" s="3">
        <f>VLOOKUP(A30,[4]fnd_gfm_43298103!$B:$F,5,0)</f>
        <v>6</v>
      </c>
      <c r="G30" s="3">
        <f t="shared" si="0"/>
        <v>6</v>
      </c>
      <c r="H30" s="3">
        <f>VLOOKUP(A30,'[2]CUMP Articles'!$A:$H,8,0)</f>
        <v>200437</v>
      </c>
      <c r="I30" s="3">
        <f t="shared" si="1"/>
        <v>1202622</v>
      </c>
      <c r="J30" s="3" t="str">
        <f>VLOOKUP(A30,'[3]Stock actif'!$A:$K,10,0)</f>
        <v>Oui</v>
      </c>
      <c r="K30" s="3" t="str">
        <f>VLOOKUP(A30,'[3]Stock actif'!$A:$K,11,0)</f>
        <v>Cisco</v>
      </c>
    </row>
    <row r="31" spans="1:11" x14ac:dyDescent="0.35">
      <c r="A31" s="3">
        <v>1509</v>
      </c>
      <c r="B31" s="3" t="s">
        <v>37</v>
      </c>
      <c r="C31" s="3" t="s">
        <v>4</v>
      </c>
      <c r="D31" s="3" t="s">
        <v>5</v>
      </c>
      <c r="E31" s="3"/>
      <c r="F31" s="3">
        <f>VLOOKUP(A31,[4]fnd_gfm_43298103!$B:$F,5,0)</f>
        <v>1</v>
      </c>
      <c r="G31" s="3">
        <f t="shared" si="0"/>
        <v>1</v>
      </c>
      <c r="H31" s="3">
        <f>VLOOKUP(A31,'[2]CUMP Articles'!$A:$H,8,0)</f>
        <v>24146</v>
      </c>
      <c r="I31" s="3">
        <f t="shared" si="1"/>
        <v>24146</v>
      </c>
      <c r="J31" s="3" t="str">
        <f>VLOOKUP(A31,'[3]Stock actif'!$A:$K,10,0)</f>
        <v>Oui</v>
      </c>
      <c r="K31" s="3" t="str">
        <f>VLOOKUP(A31,'[3]Stock actif'!$A:$K,11,0)</f>
        <v>Cisco</v>
      </c>
    </row>
    <row r="32" spans="1:11" x14ac:dyDescent="0.35">
      <c r="A32" s="3">
        <v>1655</v>
      </c>
      <c r="B32" s="3" t="s">
        <v>38</v>
      </c>
      <c r="C32" s="3" t="s">
        <v>4</v>
      </c>
      <c r="D32" s="3" t="s">
        <v>5</v>
      </c>
      <c r="E32" s="3"/>
      <c r="F32" s="3">
        <f>VLOOKUP(A32,[4]fnd_gfm_43298103!$B:$F,5,0)</f>
        <v>100</v>
      </c>
      <c r="G32" s="3">
        <f t="shared" si="0"/>
        <v>100</v>
      </c>
      <c r="H32" s="3">
        <f>VLOOKUP(A32,'[2]CUMP Articles'!$A:$H,8,0)</f>
        <v>45</v>
      </c>
      <c r="I32" s="3">
        <f t="shared" si="1"/>
        <v>4500</v>
      </c>
      <c r="J32" s="3" t="str">
        <f>VLOOKUP(A32,'[3]Stock actif'!$A:$K,10,0)</f>
        <v>Non</v>
      </c>
      <c r="K32" s="3" t="str">
        <f>VLOOKUP(A32,'[3]Stock actif'!$A:$K,11,0)</f>
        <v>Générique</v>
      </c>
    </row>
    <row r="33" spans="1:11" x14ac:dyDescent="0.35">
      <c r="A33" s="3">
        <v>1737</v>
      </c>
      <c r="B33" s="3" t="s">
        <v>39</v>
      </c>
      <c r="C33" s="3" t="s">
        <v>4</v>
      </c>
      <c r="D33" s="3" t="s">
        <v>5</v>
      </c>
      <c r="E33" s="3"/>
      <c r="F33" s="3">
        <f>VLOOKUP(A33,[4]fnd_gfm_43298103!$B:$F,5,0)</f>
        <v>75</v>
      </c>
      <c r="G33" s="3">
        <f t="shared" si="0"/>
        <v>75</v>
      </c>
      <c r="H33" s="3">
        <f>VLOOKUP(A33,'[2]CUMP Articles'!$A:$H,8,0)</f>
        <v>38801</v>
      </c>
      <c r="I33" s="3">
        <f t="shared" si="1"/>
        <v>2910075</v>
      </c>
      <c r="J33" s="3" t="str">
        <f>VLOOKUP(A33,'[3]Stock actif'!$A:$K,10,0)</f>
        <v>Oui</v>
      </c>
      <c r="K33" s="3" t="str">
        <f>VLOOKUP(A33,'[3]Stock actif'!$A:$K,11,0)</f>
        <v>Générique</v>
      </c>
    </row>
    <row r="34" spans="1:11" x14ac:dyDescent="0.35">
      <c r="A34" s="3">
        <v>1926</v>
      </c>
      <c r="B34" s="3" t="s">
        <v>40</v>
      </c>
      <c r="C34" s="3" t="s">
        <v>4</v>
      </c>
      <c r="D34" s="3" t="s">
        <v>5</v>
      </c>
      <c r="E34" s="3">
        <f>VLOOKUP(A34,[1]fnd_gfm_43298102!$B:$F,5,0)</f>
        <v>20</v>
      </c>
      <c r="F34" s="3"/>
      <c r="G34" s="3">
        <f t="shared" si="0"/>
        <v>20</v>
      </c>
      <c r="H34" s="3">
        <f>VLOOKUP(A34,'[2]CUMP Articles'!$A:$H,8,0)</f>
        <v>60348</v>
      </c>
      <c r="I34" s="3">
        <f t="shared" si="1"/>
        <v>1206960</v>
      </c>
      <c r="J34" s="3" t="str">
        <f>VLOOKUP(A34,'[3]Stock actif'!$A:$K,10,0)</f>
        <v>Oui</v>
      </c>
      <c r="K34" s="3" t="str">
        <f>VLOOKUP(A34,'[3]Stock actif'!$A:$K,11,0)</f>
        <v>Alcatel-Lucent</v>
      </c>
    </row>
    <row r="35" spans="1:11" x14ac:dyDescent="0.35">
      <c r="A35" s="3">
        <v>1927</v>
      </c>
      <c r="B35" s="3" t="s">
        <v>41</v>
      </c>
      <c r="C35" s="3" t="s">
        <v>4</v>
      </c>
      <c r="D35" s="3" t="s">
        <v>5</v>
      </c>
      <c r="E35" s="3">
        <f>VLOOKUP(A35,[1]fnd_gfm_43298102!$B:$F,5,0)</f>
        <v>15</v>
      </c>
      <c r="F35" s="3"/>
      <c r="G35" s="3">
        <f t="shared" si="0"/>
        <v>15</v>
      </c>
      <c r="H35" s="3">
        <f>VLOOKUP(A35,'[2]CUMP Articles'!$A:$H,8,0)</f>
        <v>80027</v>
      </c>
      <c r="I35" s="3">
        <f t="shared" si="1"/>
        <v>1200405</v>
      </c>
      <c r="J35" s="3" t="str">
        <f>VLOOKUP(A35,'[3]Stock actif'!$A:$K,10,0)</f>
        <v>oui</v>
      </c>
      <c r="K35" s="3" t="str">
        <f>VLOOKUP(A35,'[3]Stock actif'!$A:$K,11,0)</f>
        <v>Alcatel-Lucent</v>
      </c>
    </row>
    <row r="36" spans="1:11" x14ac:dyDescent="0.35">
      <c r="A36" s="3">
        <v>1935</v>
      </c>
      <c r="B36" s="3" t="s">
        <v>42</v>
      </c>
      <c r="C36" s="3" t="s">
        <v>4</v>
      </c>
      <c r="D36" s="3" t="s">
        <v>5</v>
      </c>
      <c r="E36" s="3"/>
      <c r="F36" s="3">
        <f>VLOOKUP(A36,[4]fnd_gfm_43298103!$B:$F,5,0)</f>
        <v>50</v>
      </c>
      <c r="G36" s="3">
        <f t="shared" si="0"/>
        <v>50</v>
      </c>
      <c r="H36" s="3">
        <f>VLOOKUP(A36,'[2]CUMP Articles'!$A:$H,8,0)</f>
        <v>1500</v>
      </c>
      <c r="I36" s="3">
        <f t="shared" si="1"/>
        <v>75000</v>
      </c>
      <c r="J36" s="3" t="str">
        <f>VLOOKUP(A36,'[3]Stock actif'!$A:$K,10,0)</f>
        <v>Non</v>
      </c>
      <c r="K36" s="3" t="str">
        <f>VLOOKUP(A36,'[3]Stock actif'!$A:$K,11,0)</f>
        <v>Générique</v>
      </c>
    </row>
    <row r="37" spans="1:11" x14ac:dyDescent="0.35">
      <c r="A37" s="3">
        <v>1948</v>
      </c>
      <c r="B37" s="3" t="s">
        <v>43</v>
      </c>
      <c r="C37" s="3" t="s">
        <v>4</v>
      </c>
      <c r="D37" s="3" t="s">
        <v>5</v>
      </c>
      <c r="E37" s="3"/>
      <c r="F37" s="3">
        <f>VLOOKUP(A37,[4]fnd_gfm_43298103!$B:$F,5,0)</f>
        <v>3</v>
      </c>
      <c r="G37" s="3">
        <f t="shared" si="0"/>
        <v>3</v>
      </c>
      <c r="H37" s="3">
        <f>VLOOKUP(A37,'[2]CUMP Articles'!$A:$H,8,0)</f>
        <v>968265</v>
      </c>
      <c r="I37" s="3">
        <f t="shared" si="1"/>
        <v>2904795</v>
      </c>
      <c r="J37" s="3" t="str">
        <f>VLOOKUP(A37,'[3]Stock actif'!$A:$K,10,0)</f>
        <v>Oui</v>
      </c>
      <c r="K37" s="3" t="str">
        <f>VLOOKUP(A37,'[3]Stock actif'!$A:$K,11,0)</f>
        <v>Alcatel-Lucent</v>
      </c>
    </row>
    <row r="38" spans="1:11" x14ac:dyDescent="0.35">
      <c r="A38" s="3">
        <v>1949</v>
      </c>
      <c r="B38" s="3" t="s">
        <v>44</v>
      </c>
      <c r="C38" s="3" t="s">
        <v>4</v>
      </c>
      <c r="D38" s="3" t="s">
        <v>5</v>
      </c>
      <c r="E38" s="3">
        <f>VLOOKUP(A38,[1]fnd_gfm_43298102!$B:$F,5,0)</f>
        <v>3</v>
      </c>
      <c r="F38" s="3"/>
      <c r="G38" s="3">
        <f t="shared" si="0"/>
        <v>3</v>
      </c>
      <c r="H38" s="3">
        <f>VLOOKUP(A38,'[2]CUMP Articles'!$A:$H,8,0)</f>
        <v>281274</v>
      </c>
      <c r="I38" s="3">
        <f t="shared" si="1"/>
        <v>843822</v>
      </c>
      <c r="J38" s="3" t="str">
        <f>VLOOKUP(A38,'[3]Stock actif'!$A:$K,10,0)</f>
        <v>Oui</v>
      </c>
      <c r="K38" s="3" t="str">
        <f>VLOOKUP(A38,'[3]Stock actif'!$A:$K,11,0)</f>
        <v>Alcatel-Lucent</v>
      </c>
    </row>
    <row r="39" spans="1:11" x14ac:dyDescent="0.35">
      <c r="A39" s="3">
        <v>1952</v>
      </c>
      <c r="B39" s="3" t="s">
        <v>45</v>
      </c>
      <c r="C39" s="3" t="s">
        <v>4</v>
      </c>
      <c r="D39" s="3" t="s">
        <v>5</v>
      </c>
      <c r="E39" s="3">
        <f>VLOOKUP(A39,[1]fnd_gfm_43298102!$B:$F,5,0)</f>
        <v>17</v>
      </c>
      <c r="F39" s="3"/>
      <c r="G39" s="3">
        <f t="shared" si="0"/>
        <v>17</v>
      </c>
      <c r="H39" s="3">
        <f>VLOOKUP(A39,'[2]CUMP Articles'!$A:$H,8,0)</f>
        <v>33.124880217620799</v>
      </c>
      <c r="I39" s="3">
        <f t="shared" si="1"/>
        <v>563.12296369955357</v>
      </c>
      <c r="J39" s="3" t="str">
        <f>VLOOKUP(A39,'[3]Stock actif'!$A:$K,10,0)</f>
        <v>Non</v>
      </c>
      <c r="K39" s="3" t="str">
        <f>VLOOKUP(A39,'[3]Stock actif'!$A:$K,11,0)</f>
        <v>Générique</v>
      </c>
    </row>
    <row r="40" spans="1:11" x14ac:dyDescent="0.35">
      <c r="A40" s="3">
        <v>1963</v>
      </c>
      <c r="B40" s="3" t="s">
        <v>46</v>
      </c>
      <c r="C40" s="3" t="s">
        <v>4</v>
      </c>
      <c r="D40" s="3" t="s">
        <v>5</v>
      </c>
      <c r="E40" s="3"/>
      <c r="F40" s="3">
        <f>VLOOKUP(A40,[4]fnd_gfm_43298103!$B:$F,5,0)</f>
        <v>2267</v>
      </c>
      <c r="G40" s="3">
        <f t="shared" si="0"/>
        <v>2267</v>
      </c>
      <c r="H40" s="3">
        <f>VLOOKUP(A40,'[2]CUMP Articles'!$A:$H,8,0)</f>
        <v>1415</v>
      </c>
      <c r="I40" s="3">
        <f t="shared" si="1"/>
        <v>3207805</v>
      </c>
      <c r="J40" s="3" t="str">
        <f>VLOOKUP(A40,'[3]Stock actif'!$A:$K,10,0)</f>
        <v>Non</v>
      </c>
      <c r="K40" s="3" t="str">
        <f>VLOOKUP(A40,'[3]Stock actif'!$A:$K,11,0)</f>
        <v>Générique</v>
      </c>
    </row>
    <row r="41" spans="1:11" x14ac:dyDescent="0.35">
      <c r="A41" s="3">
        <v>1965</v>
      </c>
      <c r="B41" s="3" t="s">
        <v>47</v>
      </c>
      <c r="C41" s="3" t="s">
        <v>4</v>
      </c>
      <c r="D41" s="3" t="s">
        <v>5</v>
      </c>
      <c r="E41" s="3"/>
      <c r="F41" s="3">
        <f>VLOOKUP(A41,[4]fnd_gfm_43298103!$B:$F,5,0)</f>
        <v>13</v>
      </c>
      <c r="G41" s="3">
        <f t="shared" si="0"/>
        <v>13</v>
      </c>
      <c r="H41" s="3">
        <f>VLOOKUP(A41,'[2]CUMP Articles'!$A:$H,8,0)</f>
        <v>556820</v>
      </c>
      <c r="I41" s="3">
        <f t="shared" si="1"/>
        <v>7238660</v>
      </c>
      <c r="J41" s="3" t="str">
        <f>VLOOKUP(A41,'[3]Stock actif'!$A:$K,10,0)</f>
        <v>Oui</v>
      </c>
      <c r="K41" s="3" t="str">
        <f>VLOOKUP(A41,'[3]Stock actif'!$A:$K,11,0)</f>
        <v>Alcatel-Lucent</v>
      </c>
    </row>
    <row r="42" spans="1:11" x14ac:dyDescent="0.35">
      <c r="A42" s="3">
        <v>1967</v>
      </c>
      <c r="B42" s="3" t="s">
        <v>48</v>
      </c>
      <c r="C42" s="3" t="s">
        <v>4</v>
      </c>
      <c r="D42" s="3" t="s">
        <v>5</v>
      </c>
      <c r="E42" s="3">
        <f>VLOOKUP(A42,[1]fnd_gfm_43298102!$B:$F,5,0)</f>
        <v>1</v>
      </c>
      <c r="F42" s="3">
        <f>VLOOKUP(A42,[4]fnd_gfm_43298103!$B:$F,5,0)</f>
        <v>5</v>
      </c>
      <c r="G42" s="3">
        <f t="shared" si="0"/>
        <v>6</v>
      </c>
      <c r="H42" s="3">
        <f>VLOOKUP(A42,'[2]CUMP Articles'!$A:$H,8,0)</f>
        <v>83238</v>
      </c>
      <c r="I42" s="3">
        <f t="shared" si="1"/>
        <v>499428</v>
      </c>
      <c r="J42" s="3" t="str">
        <f>VLOOKUP(A42,'[3]Stock actif'!$A:$K,10,0)</f>
        <v>Oui</v>
      </c>
      <c r="K42" s="3" t="str">
        <f>VLOOKUP(A42,'[3]Stock actif'!$A:$K,11,0)</f>
        <v>Alcatel-Lucent</v>
      </c>
    </row>
    <row r="43" spans="1:11" x14ac:dyDescent="0.35">
      <c r="A43" s="3">
        <v>1968</v>
      </c>
      <c r="B43" s="3" t="s">
        <v>49</v>
      </c>
      <c r="C43" s="3" t="s">
        <v>4</v>
      </c>
      <c r="D43" s="3" t="s">
        <v>5</v>
      </c>
      <c r="E43" s="3">
        <f>VLOOKUP(A43,[1]fnd_gfm_43298102!$B:$F,5,0)</f>
        <v>1</v>
      </c>
      <c r="F43" s="3">
        <f>VLOOKUP(A43,[4]fnd_gfm_43298103!$B:$F,5,0)</f>
        <v>1</v>
      </c>
      <c r="G43" s="3">
        <f t="shared" si="0"/>
        <v>2</v>
      </c>
      <c r="H43" s="3">
        <f>VLOOKUP(A43,'[2]CUMP Articles'!$A:$H,8,0)</f>
        <v>185070</v>
      </c>
      <c r="I43" s="3">
        <f t="shared" si="1"/>
        <v>370140</v>
      </c>
      <c r="J43" s="3" t="str">
        <f>VLOOKUP(A43,'[3]Stock actif'!$A:$K,10,0)</f>
        <v>Oui</v>
      </c>
      <c r="K43" s="3" t="str">
        <f>VLOOKUP(A43,'[3]Stock actif'!$A:$K,11,0)</f>
        <v>Alcatel-Lucent</v>
      </c>
    </row>
    <row r="44" spans="1:11" x14ac:dyDescent="0.35">
      <c r="A44" s="3">
        <v>1974</v>
      </c>
      <c r="B44" s="3" t="s">
        <v>50</v>
      </c>
      <c r="C44" s="3" t="s">
        <v>4</v>
      </c>
      <c r="D44" s="3" t="s">
        <v>5</v>
      </c>
      <c r="E44" s="3">
        <f>VLOOKUP(A44,[1]fnd_gfm_43298102!$B:$F,5,0)</f>
        <v>2</v>
      </c>
      <c r="F44" s="3">
        <f>VLOOKUP(A44,[4]fnd_gfm_43298103!$B:$F,5,0)</f>
        <v>22</v>
      </c>
      <c r="G44" s="3">
        <f t="shared" si="0"/>
        <v>24</v>
      </c>
      <c r="H44" s="3">
        <f>VLOOKUP(A44,'[2]CUMP Articles'!$A:$H,8,0)</f>
        <v>539109.19306666602</v>
      </c>
      <c r="I44" s="3">
        <f t="shared" si="1"/>
        <v>12938620.633599985</v>
      </c>
      <c r="J44" s="3" t="str">
        <f>VLOOKUP(A44,'[3]Stock actif'!$A:$K,10,0)</f>
        <v>Oui</v>
      </c>
      <c r="K44" s="3" t="str">
        <f>VLOOKUP(A44,'[3]Stock actif'!$A:$K,11,0)</f>
        <v>Alcatel-Lucent</v>
      </c>
    </row>
    <row r="45" spans="1:11" x14ac:dyDescent="0.35">
      <c r="A45" s="3">
        <v>1978</v>
      </c>
      <c r="B45" s="3" t="s">
        <v>51</v>
      </c>
      <c r="C45" s="3" t="s">
        <v>4</v>
      </c>
      <c r="D45" s="3" t="s">
        <v>5</v>
      </c>
      <c r="E45" s="3"/>
      <c r="F45" s="3">
        <f>VLOOKUP(A45,[4]fnd_gfm_43298103!$B:$F,5,0)</f>
        <v>3415</v>
      </c>
      <c r="G45" s="3">
        <f t="shared" si="0"/>
        <v>3415</v>
      </c>
      <c r="H45" s="3">
        <f>VLOOKUP(A45,'[2]CUMP Articles'!$A:$H,8,0)</f>
        <v>319</v>
      </c>
      <c r="I45" s="3">
        <f t="shared" si="1"/>
        <v>1089385</v>
      </c>
      <c r="J45" s="3" t="str">
        <f>VLOOKUP(A45,'[3]Stock actif'!$A:$K,10,0)</f>
        <v>Non</v>
      </c>
      <c r="K45" s="3" t="str">
        <f>VLOOKUP(A45,'[3]Stock actif'!$A:$K,11,0)</f>
        <v>Générique</v>
      </c>
    </row>
    <row r="46" spans="1:11" x14ac:dyDescent="0.35">
      <c r="A46" s="3">
        <v>2010</v>
      </c>
      <c r="B46" s="3" t="s">
        <v>52</v>
      </c>
      <c r="C46" s="3" t="s">
        <v>4</v>
      </c>
      <c r="D46" s="3" t="s">
        <v>5</v>
      </c>
      <c r="E46" s="3"/>
      <c r="F46" s="3">
        <f>VLOOKUP(A46,[4]fnd_gfm_43298103!$B:$F,5,0)</f>
        <v>3</v>
      </c>
      <c r="G46" s="3">
        <f t="shared" si="0"/>
        <v>3</v>
      </c>
      <c r="H46" s="3">
        <f>VLOOKUP(A46,'[2]CUMP Articles'!$A:$H,8,0)</f>
        <v>94537</v>
      </c>
      <c r="I46" s="3">
        <f t="shared" si="1"/>
        <v>283611</v>
      </c>
      <c r="J46" s="3" t="str">
        <f>VLOOKUP(A46,'[3]Stock actif'!$A:$K,10,0)</f>
        <v>Oui</v>
      </c>
      <c r="K46" s="3" t="str">
        <f>VLOOKUP(A46,'[3]Stock actif'!$A:$K,11,0)</f>
        <v>Générique</v>
      </c>
    </row>
    <row r="47" spans="1:11" x14ac:dyDescent="0.35">
      <c r="A47" s="3">
        <v>2018</v>
      </c>
      <c r="B47" s="3" t="s">
        <v>53</v>
      </c>
      <c r="C47" s="3" t="s">
        <v>4</v>
      </c>
      <c r="D47" s="3" t="s">
        <v>5</v>
      </c>
      <c r="E47" s="3">
        <f>VLOOKUP(A47,[1]fnd_gfm_43298102!$B:$F,5,0)</f>
        <v>20</v>
      </c>
      <c r="F47" s="3">
        <f>VLOOKUP(A47,[4]fnd_gfm_43298103!$B:$F,5,0)</f>
        <v>312</v>
      </c>
      <c r="G47" s="3">
        <f t="shared" si="0"/>
        <v>332</v>
      </c>
      <c r="H47" s="3">
        <f>VLOOKUP(A47,'[2]CUMP Articles'!$A:$H,8,0)</f>
        <v>13390.419694488401</v>
      </c>
      <c r="I47" s="3">
        <f t="shared" si="1"/>
        <v>4445619.3385701487</v>
      </c>
      <c r="J47" s="3" t="str">
        <f>VLOOKUP(A47,'[3]Stock actif'!$A:$K,10,0)</f>
        <v>Oui</v>
      </c>
      <c r="K47" s="3" t="str">
        <f>VLOOKUP(A47,'[3]Stock actif'!$A:$K,11,0)</f>
        <v>Nexans</v>
      </c>
    </row>
    <row r="48" spans="1:11" x14ac:dyDescent="0.35">
      <c r="A48" s="3">
        <v>2025</v>
      </c>
      <c r="B48" s="3" t="s">
        <v>54</v>
      </c>
      <c r="C48" s="3" t="s">
        <v>4</v>
      </c>
      <c r="D48" s="3" t="s">
        <v>5</v>
      </c>
      <c r="E48" s="3">
        <f>VLOOKUP(A48,[1]fnd_gfm_43298102!$B:$F,5,0)</f>
        <v>3</v>
      </c>
      <c r="F48" s="3"/>
      <c r="G48" s="3">
        <f t="shared" si="0"/>
        <v>3</v>
      </c>
      <c r="H48" s="3">
        <f>VLOOKUP(A48,'[2]CUMP Articles'!$A:$H,8,0)</f>
        <v>12107.5</v>
      </c>
      <c r="I48" s="3">
        <f t="shared" si="1"/>
        <v>36322.5</v>
      </c>
      <c r="J48" s="3" t="str">
        <f>VLOOKUP(A48,'[3]Stock actif'!$A:$K,10,0)</f>
        <v>Oui</v>
      </c>
      <c r="K48" s="3" t="str">
        <f>VLOOKUP(A48,'[3]Stock actif'!$A:$K,11,0)</f>
        <v>Alcatel-Lucent</v>
      </c>
    </row>
    <row r="49" spans="1:11" x14ac:dyDescent="0.35">
      <c r="A49" s="3">
        <v>2026</v>
      </c>
      <c r="B49" s="3" t="s">
        <v>55</v>
      </c>
      <c r="C49" s="3" t="s">
        <v>4</v>
      </c>
      <c r="D49" s="3" t="s">
        <v>5</v>
      </c>
      <c r="E49" s="3">
        <f>VLOOKUP(A49,[1]fnd_gfm_43298102!$B:$F,5,0)</f>
        <v>5</v>
      </c>
      <c r="F49" s="3">
        <f>VLOOKUP(A49,[4]fnd_gfm_43298103!$B:$F,5,0)</f>
        <v>2</v>
      </c>
      <c r="G49" s="3">
        <f t="shared" si="0"/>
        <v>7</v>
      </c>
      <c r="H49" s="3">
        <f>VLOOKUP(A49,'[2]CUMP Articles'!$A:$H,8,0)</f>
        <v>300348.82659807801</v>
      </c>
      <c r="I49" s="3">
        <f t="shared" si="1"/>
        <v>2102441.7861865461</v>
      </c>
      <c r="J49" s="3" t="str">
        <f>VLOOKUP(A49,'[3]Stock actif'!$A:$K,10,0)</f>
        <v>Oui</v>
      </c>
      <c r="K49" s="3" t="str">
        <f>VLOOKUP(A49,'[3]Stock actif'!$A:$K,11,0)</f>
        <v>Alcatel-Lucent</v>
      </c>
    </row>
    <row r="50" spans="1:11" x14ac:dyDescent="0.35">
      <c r="A50" s="3">
        <v>2031</v>
      </c>
      <c r="B50" s="3" t="s">
        <v>56</v>
      </c>
      <c r="C50" s="3" t="s">
        <v>4</v>
      </c>
      <c r="D50" s="3" t="s">
        <v>5</v>
      </c>
      <c r="E50" s="3">
        <f>VLOOKUP(A50,[1]fnd_gfm_43298102!$B:$F,5,0)</f>
        <v>9</v>
      </c>
      <c r="F50" s="3">
        <f>VLOOKUP(A50,[4]fnd_gfm_43298103!$B:$F,5,0)</f>
        <v>250</v>
      </c>
      <c r="G50" s="3">
        <f t="shared" si="0"/>
        <v>259</v>
      </c>
      <c r="H50" s="3">
        <f>VLOOKUP(A50,'[2]CUMP Articles'!$A:$H,8,0)</f>
        <v>1102</v>
      </c>
      <c r="I50" s="3">
        <f t="shared" si="1"/>
        <v>285418</v>
      </c>
      <c r="J50" s="3" t="str">
        <f>VLOOKUP(A50,'[3]Stock actif'!$A:$K,10,0)</f>
        <v>Oui</v>
      </c>
      <c r="K50" s="3" t="str">
        <f>VLOOKUP(A50,'[3]Stock actif'!$A:$K,11,0)</f>
        <v>Nexans</v>
      </c>
    </row>
    <row r="51" spans="1:11" x14ac:dyDescent="0.35">
      <c r="A51" s="3">
        <v>2042</v>
      </c>
      <c r="B51" s="3" t="s">
        <v>57</v>
      </c>
      <c r="C51" s="3" t="s">
        <v>4</v>
      </c>
      <c r="D51" s="3" t="s">
        <v>5</v>
      </c>
      <c r="E51" s="3"/>
      <c r="F51" s="3">
        <f>VLOOKUP(A51,[4]fnd_gfm_43298103!$B:$F,5,0)</f>
        <v>175</v>
      </c>
      <c r="G51" s="3">
        <f t="shared" si="0"/>
        <v>175</v>
      </c>
      <c r="H51" s="3">
        <f>VLOOKUP(A51,'[2]CUMP Articles'!$A:$H,8,0)</f>
        <v>1046</v>
      </c>
      <c r="I51" s="3">
        <f t="shared" si="1"/>
        <v>183050</v>
      </c>
      <c r="J51" s="3" t="str">
        <f>VLOOKUP(A51,'[3]Stock actif'!$A:$K,10,0)</f>
        <v>Oui</v>
      </c>
      <c r="K51" s="3" t="str">
        <f>VLOOKUP(A51,'[3]Stock actif'!$A:$K,11,0)</f>
        <v>Générique</v>
      </c>
    </row>
    <row r="52" spans="1:11" x14ac:dyDescent="0.35">
      <c r="A52" s="3">
        <v>2048</v>
      </c>
      <c r="B52" s="3" t="s">
        <v>58</v>
      </c>
      <c r="C52" s="3" t="s">
        <v>4</v>
      </c>
      <c r="D52" s="3" t="s">
        <v>5</v>
      </c>
      <c r="E52" s="3"/>
      <c r="F52" s="3">
        <f>VLOOKUP(A52,[4]fnd_gfm_43298103!$B:$F,5,0)</f>
        <v>1</v>
      </c>
      <c r="G52" s="3">
        <f t="shared" si="0"/>
        <v>1</v>
      </c>
      <c r="H52" s="3">
        <f>VLOOKUP(A52,'[2]CUMP Articles'!$A:$H,8,0)</f>
        <v>57462</v>
      </c>
      <c r="I52" s="3">
        <f t="shared" si="1"/>
        <v>57462</v>
      </c>
      <c r="J52" s="3" t="str">
        <f>VLOOKUP(A52,'[3]Stock actif'!$A:$K,10,0)</f>
        <v>Oui</v>
      </c>
      <c r="K52" s="3" t="str">
        <f>VLOOKUP(A52,'[3]Stock actif'!$A:$K,11,0)</f>
        <v>Alcatel-Lucent</v>
      </c>
    </row>
    <row r="53" spans="1:11" x14ac:dyDescent="0.35">
      <c r="A53" s="3">
        <v>2057</v>
      </c>
      <c r="B53" s="3" t="s">
        <v>59</v>
      </c>
      <c r="C53" s="3" t="s">
        <v>4</v>
      </c>
      <c r="D53" s="3" t="s">
        <v>5</v>
      </c>
      <c r="E53" s="3"/>
      <c r="F53" s="3">
        <f>VLOOKUP(A53,[4]fnd_gfm_43298103!$B:$F,5,0)</f>
        <v>10</v>
      </c>
      <c r="G53" s="3">
        <f t="shared" si="0"/>
        <v>10</v>
      </c>
      <c r="H53" s="3">
        <f>VLOOKUP(A53,'[2]CUMP Articles'!$A:$H,8,0)</f>
        <v>109413.62760000001</v>
      </c>
      <c r="I53" s="3">
        <f t="shared" si="1"/>
        <v>1094136.2760000001</v>
      </c>
      <c r="J53" s="3" t="str">
        <f>VLOOKUP(A53,'[3]Stock actif'!$A:$K,10,0)</f>
        <v>OUI</v>
      </c>
      <c r="K53" s="3" t="str">
        <f>VLOOKUP(A53,'[3]Stock actif'!$A:$K,11,0)</f>
        <v>Alcatel-Lucent</v>
      </c>
    </row>
    <row r="54" spans="1:11" x14ac:dyDescent="0.35">
      <c r="A54" s="3">
        <v>2082</v>
      </c>
      <c r="B54" s="3" t="s">
        <v>60</v>
      </c>
      <c r="C54" s="3" t="s">
        <v>4</v>
      </c>
      <c r="D54" s="3" t="s">
        <v>5</v>
      </c>
      <c r="E54" s="3"/>
      <c r="F54" s="3">
        <f>VLOOKUP(A54,[4]fnd_gfm_43298103!$B:$F,5,0)</f>
        <v>1</v>
      </c>
      <c r="G54" s="3">
        <f t="shared" si="0"/>
        <v>1</v>
      </c>
      <c r="H54" s="3">
        <f>VLOOKUP(A54,'[2]CUMP Articles'!$A:$H,8,0)</f>
        <v>408147</v>
      </c>
      <c r="I54" s="3">
        <f t="shared" si="1"/>
        <v>408147</v>
      </c>
      <c r="J54" s="3" t="str">
        <f>VLOOKUP(A54,'[3]Stock actif'!$A:$K,10,0)</f>
        <v>Oui</v>
      </c>
      <c r="K54" s="3" t="str">
        <f>VLOOKUP(A54,'[3]Stock actif'!$A:$K,11,0)</f>
        <v>Cisco</v>
      </c>
    </row>
    <row r="55" spans="1:11" x14ac:dyDescent="0.35">
      <c r="A55" s="3">
        <v>2087</v>
      </c>
      <c r="B55" s="3" t="s">
        <v>61</v>
      </c>
      <c r="C55" s="3" t="s">
        <v>4</v>
      </c>
      <c r="D55" s="3" t="s">
        <v>5</v>
      </c>
      <c r="E55" s="3">
        <f>VLOOKUP(A55,[1]fnd_gfm_43298102!$B:$F,5,0)</f>
        <v>21</v>
      </c>
      <c r="F55" s="3">
        <f>VLOOKUP(A55,[4]fnd_gfm_43298103!$B:$F,5,0)</f>
        <v>278</v>
      </c>
      <c r="G55" s="3">
        <f t="shared" si="0"/>
        <v>299</v>
      </c>
      <c r="H55" s="3">
        <f>VLOOKUP(A55,'[2]CUMP Articles'!$A:$H,8,0)</f>
        <v>107857.72436054199</v>
      </c>
      <c r="I55" s="3">
        <f t="shared" si="1"/>
        <v>32249459.583802056</v>
      </c>
      <c r="J55" s="3" t="str">
        <f>VLOOKUP(A55,'[3]Stock actif'!$A:$K,10,0)</f>
        <v>Oui</v>
      </c>
      <c r="K55" s="3" t="str">
        <f>VLOOKUP(A55,'[3]Stock actif'!$A:$K,11,0)</f>
        <v>Alcatel-Lucent</v>
      </c>
    </row>
    <row r="56" spans="1:11" x14ac:dyDescent="0.35">
      <c r="A56" s="3">
        <v>2091</v>
      </c>
      <c r="B56" s="3" t="s">
        <v>62</v>
      </c>
      <c r="C56" s="3" t="s">
        <v>4</v>
      </c>
      <c r="D56" s="3" t="s">
        <v>5</v>
      </c>
      <c r="E56" s="3">
        <f>VLOOKUP(A56,[1]fnd_gfm_43298102!$B:$F,5,0)</f>
        <v>1</v>
      </c>
      <c r="F56" s="3"/>
      <c r="G56" s="3">
        <f t="shared" si="0"/>
        <v>1</v>
      </c>
      <c r="H56" s="3">
        <f>VLOOKUP(A56,'[2]CUMP Articles'!$A:$H,8,0)</f>
        <v>86825</v>
      </c>
      <c r="I56" s="3">
        <f t="shared" si="1"/>
        <v>86825</v>
      </c>
      <c r="J56" s="3" t="str">
        <f>VLOOKUP(A56,'[3]Stock actif'!$A:$K,10,0)</f>
        <v>Oui</v>
      </c>
      <c r="K56" s="3" t="str">
        <f>VLOOKUP(A56,'[3]Stock actif'!$A:$K,11,0)</f>
        <v>Cisco</v>
      </c>
    </row>
    <row r="57" spans="1:11" x14ac:dyDescent="0.35">
      <c r="A57" s="3">
        <v>2096</v>
      </c>
      <c r="B57" s="3" t="s">
        <v>63</v>
      </c>
      <c r="C57" s="3" t="s">
        <v>4</v>
      </c>
      <c r="D57" s="3" t="s">
        <v>5</v>
      </c>
      <c r="E57" s="3">
        <f>VLOOKUP(A57,[1]fnd_gfm_43298102!$B:$F,5,0)</f>
        <v>2</v>
      </c>
      <c r="F57" s="3"/>
      <c r="G57" s="3">
        <f t="shared" si="0"/>
        <v>2</v>
      </c>
      <c r="H57" s="3">
        <f>VLOOKUP(A57,'[2]CUMP Articles'!$A:$H,8,0)</f>
        <v>419026</v>
      </c>
      <c r="I57" s="3">
        <f t="shared" si="1"/>
        <v>838052</v>
      </c>
      <c r="J57" s="3" t="str">
        <f>VLOOKUP(A57,'[3]Stock actif'!$A:$K,10,0)</f>
        <v>Oui</v>
      </c>
      <c r="K57" s="3" t="str">
        <f>VLOOKUP(A57,'[3]Stock actif'!$A:$K,11,0)</f>
        <v>Cisco</v>
      </c>
    </row>
    <row r="58" spans="1:11" x14ac:dyDescent="0.35">
      <c r="A58" s="3">
        <v>2103</v>
      </c>
      <c r="B58" s="3" t="s">
        <v>64</v>
      </c>
      <c r="C58" s="3" t="s">
        <v>4</v>
      </c>
      <c r="D58" s="3" t="s">
        <v>5</v>
      </c>
      <c r="E58" s="3"/>
      <c r="F58" s="3">
        <f>VLOOKUP(A58,[4]fnd_gfm_43298103!$B:$F,5,0)</f>
        <v>43</v>
      </c>
      <c r="G58" s="3">
        <f t="shared" si="0"/>
        <v>43</v>
      </c>
      <c r="H58" s="3">
        <f>VLOOKUP(A58,'[2]CUMP Articles'!$A:$H,8,0)</f>
        <v>2826</v>
      </c>
      <c r="I58" s="3">
        <f t="shared" si="1"/>
        <v>121518</v>
      </c>
      <c r="J58" s="3" t="str">
        <f>VLOOKUP(A58,'[3]Stock actif'!$A:$K,10,0)</f>
        <v>Non</v>
      </c>
      <c r="K58" s="3" t="str">
        <f>VLOOKUP(A58,'[3]Stock actif'!$A:$K,11,0)</f>
        <v>Générique</v>
      </c>
    </row>
    <row r="59" spans="1:11" x14ac:dyDescent="0.35">
      <c r="A59" s="3">
        <v>2105</v>
      </c>
      <c r="B59" s="3" t="s">
        <v>65</v>
      </c>
      <c r="C59" s="3" t="s">
        <v>4</v>
      </c>
      <c r="D59" s="3" t="s">
        <v>5</v>
      </c>
      <c r="E59" s="3">
        <f>VLOOKUP(A59,[1]fnd_gfm_43298102!$B:$F,5,0)</f>
        <v>5</v>
      </c>
      <c r="F59" s="3">
        <f>VLOOKUP(A59,[4]fnd_gfm_43298103!$B:$F,5,0)</f>
        <v>23</v>
      </c>
      <c r="G59" s="3">
        <f t="shared" si="0"/>
        <v>28</v>
      </c>
      <c r="H59" s="3">
        <f>VLOOKUP(A59,'[2]CUMP Articles'!$A:$H,8,0)</f>
        <v>17694.440074999999</v>
      </c>
      <c r="I59" s="3">
        <f t="shared" si="1"/>
        <v>495444.32209999999</v>
      </c>
      <c r="J59" s="3" t="str">
        <f>VLOOKUP(A59,'[3]Stock actif'!$A:$K,10,0)</f>
        <v>Oui</v>
      </c>
      <c r="K59" s="3" t="str">
        <f>VLOOKUP(A59,'[3]Stock actif'!$A:$K,11,0)</f>
        <v>Alcatel-Lucent</v>
      </c>
    </row>
    <row r="60" spans="1:11" x14ac:dyDescent="0.35">
      <c r="A60" s="3">
        <v>2111</v>
      </c>
      <c r="B60" s="3" t="s">
        <v>66</v>
      </c>
      <c r="C60" s="3" t="s">
        <v>4</v>
      </c>
      <c r="D60" s="3" t="s">
        <v>5</v>
      </c>
      <c r="E60" s="3"/>
      <c r="F60" s="3">
        <f>VLOOKUP(A60,[4]fnd_gfm_43298103!$B:$F,5,0)</f>
        <v>9</v>
      </c>
      <c r="G60" s="3">
        <f t="shared" si="0"/>
        <v>9</v>
      </c>
      <c r="H60" s="3">
        <f>VLOOKUP(A60,'[2]CUMP Articles'!$A:$H,8,0)</f>
        <v>4680.2531950000002</v>
      </c>
      <c r="I60" s="3">
        <f t="shared" si="1"/>
        <v>42122.278754999999</v>
      </c>
      <c r="J60" s="3" t="str">
        <f>VLOOKUP(A60,'[3]Stock actif'!$A:$K,10,0)</f>
        <v>Oui</v>
      </c>
      <c r="K60" s="3" t="str">
        <f>VLOOKUP(A60,'[3]Stock actif'!$A:$K,11,0)</f>
        <v>Alcatel-Lucent</v>
      </c>
    </row>
    <row r="61" spans="1:11" x14ac:dyDescent="0.35">
      <c r="A61" s="3">
        <v>2112</v>
      </c>
      <c r="B61" s="3" t="s">
        <v>67</v>
      </c>
      <c r="C61" s="3" t="s">
        <v>4</v>
      </c>
      <c r="D61" s="3" t="s">
        <v>5</v>
      </c>
      <c r="E61" s="3"/>
      <c r="F61" s="3">
        <f>VLOOKUP(A61,[4]fnd_gfm_43298103!$B:$F,5,0)</f>
        <v>5</v>
      </c>
      <c r="G61" s="3">
        <f t="shared" si="0"/>
        <v>5</v>
      </c>
      <c r="H61" s="3">
        <f>VLOOKUP(A61,'[2]CUMP Articles'!$A:$H,8,0)</f>
        <v>6558</v>
      </c>
      <c r="I61" s="3">
        <f t="shared" si="1"/>
        <v>32790</v>
      </c>
      <c r="J61" s="3" t="str">
        <f>VLOOKUP(A61,'[3]Stock actif'!$A:$K,10,0)</f>
        <v>Oui</v>
      </c>
      <c r="K61" s="3" t="str">
        <f>VLOOKUP(A61,'[3]Stock actif'!$A:$K,11,0)</f>
        <v>Générique</v>
      </c>
    </row>
    <row r="62" spans="1:11" x14ac:dyDescent="0.35">
      <c r="A62" s="3">
        <v>2120</v>
      </c>
      <c r="B62" s="3" t="s">
        <v>68</v>
      </c>
      <c r="C62" s="3" t="s">
        <v>4</v>
      </c>
      <c r="D62" s="3" t="s">
        <v>5</v>
      </c>
      <c r="E62" s="3"/>
      <c r="F62" s="3">
        <f>VLOOKUP(A62,[4]fnd_gfm_43298103!$B:$F,5,0)</f>
        <v>900</v>
      </c>
      <c r="G62" s="3">
        <f t="shared" si="0"/>
        <v>900</v>
      </c>
      <c r="H62" s="3">
        <f>VLOOKUP(A62,'[2]CUMP Articles'!$A:$H,8,0)</f>
        <v>200</v>
      </c>
      <c r="I62" s="3">
        <f t="shared" si="1"/>
        <v>180000</v>
      </c>
      <c r="J62" s="3" t="str">
        <f>VLOOKUP(A62,'[3]Stock actif'!$A:$K,10,0)</f>
        <v>Non</v>
      </c>
      <c r="K62" s="3" t="str">
        <f>VLOOKUP(A62,'[3]Stock actif'!$A:$K,11,0)</f>
        <v>Générique</v>
      </c>
    </row>
    <row r="63" spans="1:11" x14ac:dyDescent="0.35">
      <c r="A63" s="3">
        <v>2121</v>
      </c>
      <c r="B63" s="3" t="s">
        <v>526</v>
      </c>
      <c r="C63" s="3" t="s">
        <v>4</v>
      </c>
      <c r="D63" s="3" t="s">
        <v>5</v>
      </c>
      <c r="E63" s="3">
        <f>VLOOKUP(A63,[1]fnd_gfm_43298102!$B:$F,5,0)</f>
        <v>3</v>
      </c>
      <c r="F63" s="3">
        <f>VLOOKUP(A63,[4]fnd_gfm_43298103!$B:$F,5,0)</f>
        <v>13</v>
      </c>
      <c r="G63" s="3">
        <f t="shared" si="0"/>
        <v>16</v>
      </c>
      <c r="H63" s="3">
        <f>VLOOKUP(A63,'[2]CUMP Articles'!$A:$H,8,0)</f>
        <v>524791.83828000003</v>
      </c>
      <c r="I63" s="3">
        <f t="shared" si="1"/>
        <v>8396669.4124800004</v>
      </c>
      <c r="J63" s="3" t="str">
        <f>VLOOKUP(A63,'[3]Stock actif'!$A:$K,10,0)</f>
        <v>oui</v>
      </c>
      <c r="K63" s="3" t="str">
        <f>VLOOKUP(A63,'[3]Stock actif'!$A:$K,11,0)</f>
        <v>Alcatel-Lucent</v>
      </c>
    </row>
    <row r="64" spans="1:11" x14ac:dyDescent="0.35">
      <c r="A64" s="3">
        <v>2127</v>
      </c>
      <c r="B64" s="3" t="s">
        <v>69</v>
      </c>
      <c r="C64" s="3" t="s">
        <v>4</v>
      </c>
      <c r="D64" s="3" t="s">
        <v>5</v>
      </c>
      <c r="E64" s="3"/>
      <c r="F64" s="3">
        <f>VLOOKUP(A64,[4]fnd_gfm_43298103!$B:$F,5,0)</f>
        <v>49</v>
      </c>
      <c r="G64" s="3">
        <f t="shared" si="0"/>
        <v>49</v>
      </c>
      <c r="H64" s="3">
        <f>VLOOKUP(A64,'[2]CUMP Articles'!$A:$H,8,0)</f>
        <v>1271.3400547276599</v>
      </c>
      <c r="I64" s="3">
        <f t="shared" si="1"/>
        <v>62295.662681655333</v>
      </c>
      <c r="J64" s="3" t="str">
        <f>VLOOKUP(A64,'[3]Stock actif'!$A:$K,10,0)</f>
        <v>Oui</v>
      </c>
      <c r="K64" s="3" t="str">
        <f>VLOOKUP(A64,'[3]Stock actif'!$A:$K,11,0)</f>
        <v>Nexans</v>
      </c>
    </row>
    <row r="65" spans="1:11" x14ac:dyDescent="0.35">
      <c r="A65" s="3">
        <v>2129</v>
      </c>
      <c r="B65" s="3" t="s">
        <v>70</v>
      </c>
      <c r="C65" s="3" t="s">
        <v>4</v>
      </c>
      <c r="D65" s="3" t="s">
        <v>5</v>
      </c>
      <c r="E65" s="3">
        <f>VLOOKUP(A65,[1]fnd_gfm_43298102!$B:$F,5,0)</f>
        <v>3</v>
      </c>
      <c r="F65" s="3">
        <f>VLOOKUP(A65,[4]fnd_gfm_43298103!$B:$F,5,0)</f>
        <v>42</v>
      </c>
      <c r="G65" s="3">
        <f t="shared" si="0"/>
        <v>45</v>
      </c>
      <c r="H65" s="3">
        <f>VLOOKUP(A65,'[2]CUMP Articles'!$A:$H,8,0)</f>
        <v>172390.92507417599</v>
      </c>
      <c r="I65" s="3">
        <f t="shared" si="1"/>
        <v>7757591.6283379197</v>
      </c>
      <c r="J65" s="3" t="str">
        <f>VLOOKUP(A65,'[3]Stock actif'!$A:$K,10,0)</f>
        <v>Oui</v>
      </c>
      <c r="K65" s="3" t="str">
        <f>VLOOKUP(A65,'[3]Stock actif'!$A:$K,11,0)</f>
        <v>Alcatel-Lucent</v>
      </c>
    </row>
    <row r="66" spans="1:11" x14ac:dyDescent="0.35">
      <c r="A66" s="3">
        <v>2132</v>
      </c>
      <c r="B66" s="3" t="s">
        <v>71</v>
      </c>
      <c r="C66" s="3" t="s">
        <v>4</v>
      </c>
      <c r="D66" s="3" t="s">
        <v>5</v>
      </c>
      <c r="E66" s="3">
        <f>VLOOKUP(A66,[1]fnd_gfm_43298102!$B:$F,5,0)</f>
        <v>2</v>
      </c>
      <c r="F66" s="3">
        <f>VLOOKUP(A66,[4]fnd_gfm_43298103!$B:$F,5,0)</f>
        <v>13</v>
      </c>
      <c r="G66" s="3">
        <f t="shared" si="0"/>
        <v>15</v>
      </c>
      <c r="H66" s="3">
        <f>VLOOKUP(A66,'[2]CUMP Articles'!$A:$H,8,0)</f>
        <v>94190</v>
      </c>
      <c r="I66" s="3">
        <f t="shared" si="1"/>
        <v>1412850</v>
      </c>
      <c r="J66" s="3" t="str">
        <f>VLOOKUP(A66,'[3]Stock actif'!$A:$K,10,0)</f>
        <v>Oui</v>
      </c>
      <c r="K66" s="3" t="str">
        <f>VLOOKUP(A66,'[3]Stock actif'!$A:$K,11,0)</f>
        <v>Alcatel-Lucent</v>
      </c>
    </row>
    <row r="67" spans="1:11" x14ac:dyDescent="0.35">
      <c r="A67" s="3">
        <v>2133</v>
      </c>
      <c r="B67" s="3" t="s">
        <v>72</v>
      </c>
      <c r="C67" s="3" t="s">
        <v>4</v>
      </c>
      <c r="D67" s="3" t="s">
        <v>5</v>
      </c>
      <c r="E67" s="3"/>
      <c r="F67" s="3">
        <f>VLOOKUP(A67,[4]fnd_gfm_43298103!$B:$F,5,0)</f>
        <v>74</v>
      </c>
      <c r="G67" s="3">
        <f t="shared" ref="G67:G130" si="2">SUM(E67:F67)</f>
        <v>74</v>
      </c>
      <c r="H67" s="3">
        <f>VLOOKUP(A67,'[2]CUMP Articles'!$A:$H,8,0)</f>
        <v>223</v>
      </c>
      <c r="I67" s="3">
        <f t="shared" ref="I67:I130" si="3">H67*G67</f>
        <v>16502</v>
      </c>
      <c r="J67" s="3" t="str">
        <f>VLOOKUP(A67,'[3]Stock actif'!$A:$K,10,0)</f>
        <v>Oui</v>
      </c>
      <c r="K67" s="3" t="str">
        <f>VLOOKUP(A67,'[3]Stock actif'!$A:$K,11,0)</f>
        <v>Nexans</v>
      </c>
    </row>
    <row r="68" spans="1:11" x14ac:dyDescent="0.35">
      <c r="A68" s="3">
        <v>2137</v>
      </c>
      <c r="B68" s="3" t="s">
        <v>73</v>
      </c>
      <c r="C68" s="3" t="s">
        <v>4</v>
      </c>
      <c r="D68" s="3" t="s">
        <v>5</v>
      </c>
      <c r="E68" s="3">
        <f>VLOOKUP(A68,[1]fnd_gfm_43298102!$B:$F,5,0)</f>
        <v>32</v>
      </c>
      <c r="F68" s="3">
        <f>VLOOKUP(A68,[4]fnd_gfm_43298103!$B:$F,5,0)</f>
        <v>131</v>
      </c>
      <c r="G68" s="3">
        <f t="shared" si="2"/>
        <v>163</v>
      </c>
      <c r="H68" s="3">
        <f>VLOOKUP(A68,'[2]CUMP Articles'!$A:$H,8,0)</f>
        <v>7112.0652090908998</v>
      </c>
      <c r="I68" s="3">
        <f t="shared" si="3"/>
        <v>1159266.6290818166</v>
      </c>
      <c r="J68" s="3" t="str">
        <f>VLOOKUP(A68,'[3]Stock actif'!$A:$K,10,0)</f>
        <v>Oui</v>
      </c>
      <c r="K68" s="3" t="str">
        <f>VLOOKUP(A68,'[3]Stock actif'!$A:$K,11,0)</f>
        <v>Générique</v>
      </c>
    </row>
    <row r="69" spans="1:11" x14ac:dyDescent="0.35">
      <c r="A69" s="3">
        <v>2140</v>
      </c>
      <c r="B69" s="3" t="s">
        <v>74</v>
      </c>
      <c r="C69" s="3" t="s">
        <v>4</v>
      </c>
      <c r="D69" s="3" t="s">
        <v>5</v>
      </c>
      <c r="E69" s="3"/>
      <c r="F69" s="3">
        <f>VLOOKUP(A69,[4]fnd_gfm_43298103!$B:$F,5,0)</f>
        <v>2</v>
      </c>
      <c r="G69" s="3">
        <f t="shared" si="2"/>
        <v>2</v>
      </c>
      <c r="H69" s="3">
        <f>VLOOKUP(A69,'[2]CUMP Articles'!$A:$H,8,0)</f>
        <v>15605</v>
      </c>
      <c r="I69" s="3">
        <f t="shared" si="3"/>
        <v>31210</v>
      </c>
      <c r="J69" s="3" t="str">
        <f>VLOOKUP(A69,'[3]Stock actif'!$A:$K,10,0)</f>
        <v>Oui</v>
      </c>
      <c r="K69" s="3" t="str">
        <f>VLOOKUP(A69,'[3]Stock actif'!$A:$K,11,0)</f>
        <v>Alcatel-Lucent</v>
      </c>
    </row>
    <row r="70" spans="1:11" x14ac:dyDescent="0.35">
      <c r="A70" s="3">
        <v>2141</v>
      </c>
      <c r="B70" s="3" t="s">
        <v>75</v>
      </c>
      <c r="C70" s="3" t="s">
        <v>4</v>
      </c>
      <c r="D70" s="3" t="s">
        <v>5</v>
      </c>
      <c r="E70" s="3"/>
      <c r="F70" s="3">
        <f>VLOOKUP(A70,[4]fnd_gfm_43298103!$B:$F,5,0)</f>
        <v>3</v>
      </c>
      <c r="G70" s="3">
        <f t="shared" si="2"/>
        <v>3</v>
      </c>
      <c r="H70" s="3">
        <f>VLOOKUP(A70,'[2]CUMP Articles'!$A:$H,8,0)</f>
        <v>10704</v>
      </c>
      <c r="I70" s="3">
        <f t="shared" si="3"/>
        <v>32112</v>
      </c>
      <c r="J70" s="3" t="str">
        <f>VLOOKUP(A70,'[3]Stock actif'!$A:$K,10,0)</f>
        <v>Oui</v>
      </c>
      <c r="K70" s="3" t="str">
        <f>VLOOKUP(A70,'[3]Stock actif'!$A:$K,11,0)</f>
        <v>Alcatel-Lucent</v>
      </c>
    </row>
    <row r="71" spans="1:11" x14ac:dyDescent="0.35">
      <c r="A71" s="3">
        <v>2142</v>
      </c>
      <c r="B71" s="3" t="s">
        <v>76</v>
      </c>
      <c r="C71" s="3" t="s">
        <v>4</v>
      </c>
      <c r="D71" s="3" t="s">
        <v>5</v>
      </c>
      <c r="E71" s="3"/>
      <c r="F71" s="3">
        <f>VLOOKUP(A71,[4]fnd_gfm_43298103!$B:$F,5,0)</f>
        <v>20</v>
      </c>
      <c r="G71" s="3">
        <f t="shared" si="2"/>
        <v>20</v>
      </c>
      <c r="H71" s="3">
        <f>VLOOKUP(A71,'[2]CUMP Articles'!$A:$H,8,0)</f>
        <v>48416.186170000001</v>
      </c>
      <c r="I71" s="3">
        <f t="shared" si="3"/>
        <v>968323.72340000002</v>
      </c>
      <c r="J71" s="3" t="str">
        <f>VLOOKUP(A71,'[3]Stock actif'!$A:$K,10,0)</f>
        <v>oui</v>
      </c>
      <c r="K71" s="3" t="str">
        <f>VLOOKUP(A71,'[3]Stock actif'!$A:$K,11,0)</f>
        <v>Alcatel-Lucent</v>
      </c>
    </row>
    <row r="72" spans="1:11" x14ac:dyDescent="0.35">
      <c r="A72" s="3">
        <v>2144</v>
      </c>
      <c r="B72" s="3" t="s">
        <v>77</v>
      </c>
      <c r="C72" s="3" t="s">
        <v>4</v>
      </c>
      <c r="D72" s="3" t="s">
        <v>5</v>
      </c>
      <c r="E72" s="3">
        <f>VLOOKUP(A72,[1]fnd_gfm_43298102!$B:$F,5,0)</f>
        <v>12</v>
      </c>
      <c r="F72" s="3"/>
      <c r="G72" s="3">
        <f t="shared" si="2"/>
        <v>12</v>
      </c>
      <c r="H72" s="3">
        <f>VLOOKUP(A72,'[2]CUMP Articles'!$A:$H,8,0)</f>
        <v>46179.372799999997</v>
      </c>
      <c r="I72" s="3">
        <f t="shared" si="3"/>
        <v>554152.47359999991</v>
      </c>
      <c r="J72" s="3" t="str">
        <f>VLOOKUP(A72,'[3]Stock actif'!$A:$K,10,0)</f>
        <v>Oui</v>
      </c>
      <c r="K72" s="3" t="str">
        <f>VLOOKUP(A72,'[3]Stock actif'!$A:$K,11,0)</f>
        <v>Alcatel-Lucent</v>
      </c>
    </row>
    <row r="73" spans="1:11" x14ac:dyDescent="0.35">
      <c r="A73" s="3">
        <v>2150</v>
      </c>
      <c r="B73" s="3" t="s">
        <v>78</v>
      </c>
      <c r="C73" s="3" t="s">
        <v>4</v>
      </c>
      <c r="D73" s="3" t="s">
        <v>5</v>
      </c>
      <c r="E73" s="3"/>
      <c r="F73" s="3">
        <f>VLOOKUP(A73,[4]fnd_gfm_43298103!$B:$F,5,0)</f>
        <v>6</v>
      </c>
      <c r="G73" s="3">
        <f t="shared" si="2"/>
        <v>6</v>
      </c>
      <c r="H73" s="3">
        <f>VLOOKUP(A73,'[2]CUMP Articles'!$A:$H,8,0)</f>
        <v>98458.0524</v>
      </c>
      <c r="I73" s="3">
        <f t="shared" si="3"/>
        <v>590748.31440000003</v>
      </c>
      <c r="J73" s="3" t="str">
        <f>VLOOKUP(A73,'[3]Stock actif'!$A:$K,10,0)</f>
        <v>Oui</v>
      </c>
      <c r="K73" s="3" t="str">
        <f>VLOOKUP(A73,'[3]Stock actif'!$A:$K,11,0)</f>
        <v>Alcatel-Lucent</v>
      </c>
    </row>
    <row r="74" spans="1:11" x14ac:dyDescent="0.35">
      <c r="A74" s="3">
        <v>2151</v>
      </c>
      <c r="B74" s="3" t="s">
        <v>79</v>
      </c>
      <c r="C74" s="3" t="s">
        <v>4</v>
      </c>
      <c r="D74" s="3" t="s">
        <v>5</v>
      </c>
      <c r="E74" s="3"/>
      <c r="F74" s="3">
        <f>VLOOKUP(A74,[4]fnd_gfm_43298103!$B:$F,5,0)</f>
        <v>74</v>
      </c>
      <c r="G74" s="3">
        <f t="shared" si="2"/>
        <v>74</v>
      </c>
      <c r="H74" s="3">
        <f>VLOOKUP(A74,'[2]CUMP Articles'!$A:$H,8,0)</f>
        <v>9806.5361691159596</v>
      </c>
      <c r="I74" s="3">
        <f t="shared" si="3"/>
        <v>725683.67651458096</v>
      </c>
      <c r="J74" s="3" t="str">
        <f>VLOOKUP(A74,'[3]Stock actif'!$A:$K,10,0)</f>
        <v>Oui</v>
      </c>
      <c r="K74" s="3" t="str">
        <f>VLOOKUP(A74,'[3]Stock actif'!$A:$K,11,0)</f>
        <v>Alcatel-Lucent</v>
      </c>
    </row>
    <row r="75" spans="1:11" x14ac:dyDescent="0.35">
      <c r="A75" s="3">
        <v>2154</v>
      </c>
      <c r="B75" s="3" t="s">
        <v>80</v>
      </c>
      <c r="C75" s="3" t="s">
        <v>4</v>
      </c>
      <c r="D75" s="3" t="s">
        <v>5</v>
      </c>
      <c r="E75" s="3"/>
      <c r="F75" s="3">
        <f>VLOOKUP(A75,[4]fnd_gfm_43298103!$B:$F,5,0)</f>
        <v>4</v>
      </c>
      <c r="G75" s="3">
        <f t="shared" si="2"/>
        <v>4</v>
      </c>
      <c r="H75" s="3">
        <f>VLOOKUP(A75,'[2]CUMP Articles'!$A:$H,8,0)</f>
        <v>266716</v>
      </c>
      <c r="I75" s="3">
        <f t="shared" si="3"/>
        <v>1066864</v>
      </c>
      <c r="J75" s="3" t="str">
        <f>VLOOKUP(A75,'[3]Stock actif'!$A:$K,10,0)</f>
        <v>Oui</v>
      </c>
      <c r="K75" s="3" t="str">
        <f>VLOOKUP(A75,'[3]Stock actif'!$A:$K,11,0)</f>
        <v>Cisco</v>
      </c>
    </row>
    <row r="76" spans="1:11" x14ac:dyDescent="0.35">
      <c r="A76" s="3">
        <v>2155</v>
      </c>
      <c r="B76" s="3" t="s">
        <v>81</v>
      </c>
      <c r="C76" s="3" t="s">
        <v>4</v>
      </c>
      <c r="D76" s="3" t="s">
        <v>5</v>
      </c>
      <c r="E76" s="3">
        <f>VLOOKUP(A76,[1]fnd_gfm_43298102!$B:$F,5,0)</f>
        <v>16</v>
      </c>
      <c r="F76" s="3"/>
      <c r="G76" s="3">
        <f t="shared" si="2"/>
        <v>16</v>
      </c>
      <c r="H76" s="3">
        <f>VLOOKUP(A76,'[2]CUMP Articles'!$A:$H,8,0)</f>
        <v>56895</v>
      </c>
      <c r="I76" s="3">
        <f t="shared" si="3"/>
        <v>910320</v>
      </c>
      <c r="J76" s="3" t="str">
        <f>VLOOKUP(A76,'[3]Stock actif'!$A:$K,10,0)</f>
        <v>Oui</v>
      </c>
      <c r="K76" s="3" t="str">
        <f>VLOOKUP(A76,'[3]Stock actif'!$A:$K,11,0)</f>
        <v>Générique</v>
      </c>
    </row>
    <row r="77" spans="1:11" x14ac:dyDescent="0.35">
      <c r="A77" s="3">
        <v>2161</v>
      </c>
      <c r="B77" s="3" t="s">
        <v>82</v>
      </c>
      <c r="C77" s="3" t="s">
        <v>4</v>
      </c>
      <c r="D77" s="3" t="s">
        <v>5</v>
      </c>
      <c r="E77" s="3">
        <f>VLOOKUP(A77,[1]fnd_gfm_43298102!$B:$F,5,0)</f>
        <v>7</v>
      </c>
      <c r="F77" s="3">
        <f>VLOOKUP(A77,[4]fnd_gfm_43298103!$B:$F,5,0)</f>
        <v>90</v>
      </c>
      <c r="G77" s="3">
        <f t="shared" si="2"/>
        <v>97</v>
      </c>
      <c r="H77" s="3">
        <f>VLOOKUP(A77,'[2]CUMP Articles'!$A:$H,8,0)</f>
        <v>9365.9580122242805</v>
      </c>
      <c r="I77" s="3">
        <f t="shared" si="3"/>
        <v>908497.92718575522</v>
      </c>
      <c r="J77" s="3" t="str">
        <f>VLOOKUP(A77,'[3]Stock actif'!$A:$K,10,0)</f>
        <v>Non</v>
      </c>
      <c r="K77" s="3" t="str">
        <f>VLOOKUP(A77,'[3]Stock actif'!$A:$K,11,0)</f>
        <v>Générique</v>
      </c>
    </row>
    <row r="78" spans="1:11" x14ac:dyDescent="0.35">
      <c r="A78" s="3">
        <v>2170</v>
      </c>
      <c r="B78" s="3" t="s">
        <v>83</v>
      </c>
      <c r="C78" s="3" t="s">
        <v>4</v>
      </c>
      <c r="D78" s="3" t="s">
        <v>5</v>
      </c>
      <c r="E78" s="3"/>
      <c r="F78" s="3">
        <f>VLOOKUP(A78,[4]fnd_gfm_43298103!$B:$F,5,0)</f>
        <v>56</v>
      </c>
      <c r="G78" s="3">
        <f t="shared" si="2"/>
        <v>56</v>
      </c>
      <c r="H78" s="3">
        <f>VLOOKUP(A78,'[2]CUMP Articles'!$A:$H,8,0)</f>
        <v>2653</v>
      </c>
      <c r="I78" s="3">
        <f t="shared" si="3"/>
        <v>148568</v>
      </c>
      <c r="J78" s="3" t="str">
        <f>VLOOKUP(A78,'[3]Stock actif'!$A:$K,10,0)</f>
        <v>Non</v>
      </c>
      <c r="K78" s="3" t="str">
        <f>VLOOKUP(A78,'[3]Stock actif'!$A:$K,11,0)</f>
        <v>Générique</v>
      </c>
    </row>
    <row r="79" spans="1:11" x14ac:dyDescent="0.35">
      <c r="A79" s="3">
        <v>2205</v>
      </c>
      <c r="B79" s="3" t="s">
        <v>84</v>
      </c>
      <c r="C79" s="3" t="s">
        <v>4</v>
      </c>
      <c r="D79" s="3" t="s">
        <v>5</v>
      </c>
      <c r="E79" s="3"/>
      <c r="F79" s="3">
        <f>VLOOKUP(A79,[4]fnd_gfm_43298103!$B:$F,5,0)</f>
        <v>396</v>
      </c>
      <c r="G79" s="3">
        <f t="shared" si="2"/>
        <v>396</v>
      </c>
      <c r="H79" s="3">
        <f>VLOOKUP(A79,'[2]CUMP Articles'!$A:$H,8,0)</f>
        <v>15218</v>
      </c>
      <c r="I79" s="3">
        <f t="shared" si="3"/>
        <v>6026328</v>
      </c>
      <c r="J79" s="3" t="str">
        <f>VLOOKUP(A79,'[3]Stock actif'!$A:$K,10,0)</f>
        <v>Non</v>
      </c>
      <c r="K79" s="3" t="str">
        <f>VLOOKUP(A79,'[3]Stock actif'!$A:$K,11,0)</f>
        <v>Générique</v>
      </c>
    </row>
    <row r="80" spans="1:11" x14ac:dyDescent="0.35">
      <c r="A80" s="3">
        <v>2208</v>
      </c>
      <c r="B80" s="3" t="s">
        <v>85</v>
      </c>
      <c r="C80" s="3" t="s">
        <v>4</v>
      </c>
      <c r="D80" s="3" t="s">
        <v>13</v>
      </c>
      <c r="E80" s="3"/>
      <c r="F80" s="3">
        <f>VLOOKUP(A80,[4]fnd_gfm_43298103!$B:$F,5,0)</f>
        <v>114</v>
      </c>
      <c r="G80" s="3">
        <f t="shared" si="2"/>
        <v>114</v>
      </c>
      <c r="H80" s="3">
        <f>VLOOKUP(A80,'[2]CUMP Articles'!$A:$H,8,0)</f>
        <v>708</v>
      </c>
      <c r="I80" s="3">
        <f t="shared" si="3"/>
        <v>80712</v>
      </c>
      <c r="J80" s="3" t="str">
        <f>VLOOKUP(A80,'[3]Stock actif'!$A:$K,10,0)</f>
        <v>Non</v>
      </c>
      <c r="K80" s="3" t="str">
        <f>VLOOKUP(A80,'[3]Stock actif'!$A:$K,11,0)</f>
        <v>Générique</v>
      </c>
    </row>
    <row r="81" spans="1:11" x14ac:dyDescent="0.35">
      <c r="A81" s="3">
        <v>2212</v>
      </c>
      <c r="B81" s="3" t="s">
        <v>86</v>
      </c>
      <c r="C81" s="3" t="s">
        <v>4</v>
      </c>
      <c r="D81" s="3" t="s">
        <v>5</v>
      </c>
      <c r="E81" s="3">
        <f>VLOOKUP(A81,[1]fnd_gfm_43298102!$B:$F,5,0)</f>
        <v>2</v>
      </c>
      <c r="F81" s="3"/>
      <c r="G81" s="3">
        <f t="shared" si="2"/>
        <v>2</v>
      </c>
      <c r="H81" s="3">
        <f>VLOOKUP(A81,'[2]CUMP Articles'!$A:$H,8,0)</f>
        <v>140319</v>
      </c>
      <c r="I81" s="3">
        <f t="shared" si="3"/>
        <v>280638</v>
      </c>
      <c r="J81" s="3" t="str">
        <f>VLOOKUP(A81,'[3]Stock actif'!$A:$K,10,0)</f>
        <v>Oui</v>
      </c>
      <c r="K81" s="3" t="str">
        <f>VLOOKUP(A81,'[3]Stock actif'!$A:$K,11,0)</f>
        <v>Alcatel-Lucent</v>
      </c>
    </row>
    <row r="82" spans="1:11" x14ac:dyDescent="0.35">
      <c r="A82" s="3">
        <v>2213</v>
      </c>
      <c r="B82" s="3" t="s">
        <v>87</v>
      </c>
      <c r="C82" s="3" t="s">
        <v>4</v>
      </c>
      <c r="D82" s="3" t="s">
        <v>13</v>
      </c>
      <c r="E82" s="3"/>
      <c r="F82" s="3">
        <f>VLOOKUP(A82,[4]fnd_gfm_43298103!$B:$F,5,0)</f>
        <v>640</v>
      </c>
      <c r="G82" s="3">
        <f t="shared" si="2"/>
        <v>640</v>
      </c>
      <c r="H82" s="3">
        <f>VLOOKUP(A82,'[2]CUMP Articles'!$A:$H,8,0)</f>
        <v>201</v>
      </c>
      <c r="I82" s="3">
        <f t="shared" si="3"/>
        <v>128640</v>
      </c>
      <c r="J82" s="3" t="str">
        <f>VLOOKUP(A82,'[3]Stock actif'!$A:$K,10,0)</f>
        <v>Non</v>
      </c>
      <c r="K82" s="3" t="str">
        <f>VLOOKUP(A82,'[3]Stock actif'!$A:$K,11,0)</f>
        <v>Générique</v>
      </c>
    </row>
    <row r="83" spans="1:11" x14ac:dyDescent="0.35">
      <c r="A83" s="3">
        <v>2215</v>
      </c>
      <c r="B83" s="3" t="s">
        <v>88</v>
      </c>
      <c r="C83" s="3" t="s">
        <v>4</v>
      </c>
      <c r="D83" s="3" t="s">
        <v>5</v>
      </c>
      <c r="E83" s="3">
        <f>VLOOKUP(A83,[1]fnd_gfm_43298102!$B:$F,5,0)</f>
        <v>1</v>
      </c>
      <c r="F83" s="3">
        <f>VLOOKUP(A83,[4]fnd_gfm_43298103!$B:$F,5,0)</f>
        <v>2</v>
      </c>
      <c r="G83" s="3">
        <f t="shared" si="2"/>
        <v>3</v>
      </c>
      <c r="H83" s="3">
        <f>VLOOKUP(A83,'[2]CUMP Articles'!$A:$H,8,0)</f>
        <v>73383</v>
      </c>
      <c r="I83" s="3">
        <f t="shared" si="3"/>
        <v>220149</v>
      </c>
      <c r="J83" s="3" t="str">
        <f>VLOOKUP(A83,'[3]Stock actif'!$A:$K,10,0)</f>
        <v>Oui</v>
      </c>
      <c r="K83" s="3" t="str">
        <f>VLOOKUP(A83,'[3]Stock actif'!$A:$K,11,0)</f>
        <v>Alcatel-Lucent</v>
      </c>
    </row>
    <row r="84" spans="1:11" x14ac:dyDescent="0.35">
      <c r="A84" s="3">
        <v>2218</v>
      </c>
      <c r="B84" s="3" t="s">
        <v>89</v>
      </c>
      <c r="C84" s="3" t="s">
        <v>4</v>
      </c>
      <c r="D84" s="3" t="s">
        <v>13</v>
      </c>
      <c r="E84" s="3"/>
      <c r="F84" s="3">
        <f>VLOOKUP(A84,[4]fnd_gfm_43298103!$B:$F,5,0)</f>
        <v>75</v>
      </c>
      <c r="G84" s="3">
        <f t="shared" si="2"/>
        <v>75</v>
      </c>
      <c r="H84" s="3">
        <f>VLOOKUP(A84,'[2]CUMP Articles'!$A:$H,8,0)</f>
        <v>783</v>
      </c>
      <c r="I84" s="3">
        <f t="shared" si="3"/>
        <v>58725</v>
      </c>
      <c r="J84" s="3" t="str">
        <f>VLOOKUP(A84,'[3]Stock actif'!$A:$K,10,0)</f>
        <v>Non</v>
      </c>
      <c r="K84" s="3" t="str">
        <f>VLOOKUP(A84,'[3]Stock actif'!$A:$K,11,0)</f>
        <v>Générique</v>
      </c>
    </row>
    <row r="85" spans="1:11" x14ac:dyDescent="0.35">
      <c r="A85" s="3">
        <v>2226</v>
      </c>
      <c r="B85" s="3" t="s">
        <v>90</v>
      </c>
      <c r="C85" s="3" t="s">
        <v>4</v>
      </c>
      <c r="D85" s="3" t="s">
        <v>5</v>
      </c>
      <c r="E85" s="3">
        <f>VLOOKUP(A85,[1]fnd_gfm_43298102!$B:$F,5,0)</f>
        <v>1</v>
      </c>
      <c r="F85" s="3"/>
      <c r="G85" s="3">
        <f t="shared" si="2"/>
        <v>1</v>
      </c>
      <c r="H85" s="3">
        <f>VLOOKUP(A85,'[2]CUMP Articles'!$A:$H,8,0)</f>
        <v>45261.033000000003</v>
      </c>
      <c r="I85" s="3">
        <f t="shared" si="3"/>
        <v>45261.033000000003</v>
      </c>
      <c r="J85" s="3" t="str">
        <f>VLOOKUP(A85,'[3]Stock actif'!$A:$K,10,0)</f>
        <v>Oui</v>
      </c>
      <c r="K85" s="3" t="str">
        <f>VLOOKUP(A85,'[3]Stock actif'!$A:$K,11,0)</f>
        <v>Alcatel-Lucent</v>
      </c>
    </row>
    <row r="86" spans="1:11" x14ac:dyDescent="0.35">
      <c r="A86" s="3">
        <v>2227</v>
      </c>
      <c r="B86" s="3" t="s">
        <v>91</v>
      </c>
      <c r="C86" s="3" t="s">
        <v>4</v>
      </c>
      <c r="D86" s="3" t="s">
        <v>13</v>
      </c>
      <c r="E86" s="3"/>
      <c r="F86" s="3">
        <f>VLOOKUP(A86,[4]fnd_gfm_43298103!$B:$F,5,0)</f>
        <v>41</v>
      </c>
      <c r="G86" s="3">
        <f t="shared" si="2"/>
        <v>41</v>
      </c>
      <c r="H86" s="3">
        <f>VLOOKUP(A86,'[2]CUMP Articles'!$A:$H,8,0)</f>
        <v>27761.187000000002</v>
      </c>
      <c r="I86" s="3">
        <f t="shared" si="3"/>
        <v>1138208.6670000001</v>
      </c>
      <c r="J86" s="3" t="str">
        <f>VLOOKUP(A86,'[3]Stock actif'!$A:$K,10,0)</f>
        <v>Oui</v>
      </c>
      <c r="K86" s="3" t="str">
        <f>VLOOKUP(A86,'[3]Stock actif'!$A:$K,11,0)</f>
        <v>Alcatel-Lucent</v>
      </c>
    </row>
    <row r="87" spans="1:11" x14ac:dyDescent="0.35">
      <c r="A87" s="3">
        <v>2231</v>
      </c>
      <c r="B87" s="3" t="s">
        <v>92</v>
      </c>
      <c r="C87" s="3" t="s">
        <v>4</v>
      </c>
      <c r="D87" s="3" t="s">
        <v>5</v>
      </c>
      <c r="E87" s="3"/>
      <c r="F87" s="3">
        <f>VLOOKUP(A87,[4]fnd_gfm_43298103!$B:$F,5,0)</f>
        <v>2</v>
      </c>
      <c r="G87" s="3">
        <f t="shared" si="2"/>
        <v>2</v>
      </c>
      <c r="H87" s="3">
        <f>VLOOKUP(A87,'[2]CUMP Articles'!$A:$H,8,0)</f>
        <v>382242</v>
      </c>
      <c r="I87" s="3">
        <f t="shared" si="3"/>
        <v>764484</v>
      </c>
      <c r="J87" s="3" t="str">
        <f>VLOOKUP(A87,'[3]Stock actif'!$A:$K,10,0)</f>
        <v>Oui</v>
      </c>
      <c r="K87" s="3" t="str">
        <f>VLOOKUP(A87,'[3]Stock actif'!$A:$K,11,0)</f>
        <v>Alcatel-Lucent</v>
      </c>
    </row>
    <row r="88" spans="1:11" x14ac:dyDescent="0.35">
      <c r="A88" s="3">
        <v>2234</v>
      </c>
      <c r="B88" s="3" t="s">
        <v>93</v>
      </c>
      <c r="C88" s="3" t="s">
        <v>4</v>
      </c>
      <c r="D88" s="3" t="s">
        <v>5</v>
      </c>
      <c r="E88" s="3">
        <f>VLOOKUP(A88,[1]fnd_gfm_43298102!$B:$F,5,0)</f>
        <v>1</v>
      </c>
      <c r="F88" s="3"/>
      <c r="G88" s="3">
        <f t="shared" si="2"/>
        <v>1</v>
      </c>
      <c r="H88" s="3">
        <f>VLOOKUP(A88,'[2]CUMP Articles'!$A:$H,8,0)</f>
        <v>21253</v>
      </c>
      <c r="I88" s="3">
        <f t="shared" si="3"/>
        <v>21253</v>
      </c>
      <c r="J88" s="3" t="str">
        <f>VLOOKUP(A88,'[3]Stock actif'!$A:$K,10,0)</f>
        <v>Oui</v>
      </c>
      <c r="K88" s="3" t="str">
        <f>VLOOKUP(A88,'[3]Stock actif'!$A:$K,11,0)</f>
        <v>Alcatel-Lucent</v>
      </c>
    </row>
    <row r="89" spans="1:11" x14ac:dyDescent="0.35">
      <c r="A89" s="3">
        <v>2243</v>
      </c>
      <c r="B89" s="3" t="s">
        <v>94</v>
      </c>
      <c r="C89" s="3" t="s">
        <v>4</v>
      </c>
      <c r="D89" s="3" t="s">
        <v>5</v>
      </c>
      <c r="E89" s="3"/>
      <c r="F89" s="3">
        <f>VLOOKUP(A89,[4]fnd_gfm_43298103!$B:$F,5,0)</f>
        <v>38</v>
      </c>
      <c r="G89" s="3">
        <f t="shared" si="2"/>
        <v>38</v>
      </c>
      <c r="H89" s="3">
        <f>VLOOKUP(A89,'[2]CUMP Articles'!$A:$H,8,0)</f>
        <v>4279</v>
      </c>
      <c r="I89" s="3">
        <f t="shared" si="3"/>
        <v>162602</v>
      </c>
      <c r="J89" s="3" t="str">
        <f>VLOOKUP(A89,'[3]Stock actif'!$A:$K,10,0)</f>
        <v>Oui</v>
      </c>
      <c r="K89" s="3" t="str">
        <f>VLOOKUP(A89,'[3]Stock actif'!$A:$K,11,0)</f>
        <v>Nexans</v>
      </c>
    </row>
    <row r="90" spans="1:11" x14ac:dyDescent="0.35">
      <c r="A90" s="3">
        <v>2248</v>
      </c>
      <c r="B90" s="3" t="s">
        <v>95</v>
      </c>
      <c r="C90" s="3" t="s">
        <v>4</v>
      </c>
      <c r="D90" s="3" t="s">
        <v>5</v>
      </c>
      <c r="E90" s="3"/>
      <c r="F90" s="3">
        <f>VLOOKUP(A90,[4]fnd_gfm_43298103!$B:$F,5,0)</f>
        <v>730</v>
      </c>
      <c r="G90" s="3">
        <f t="shared" si="2"/>
        <v>730</v>
      </c>
      <c r="H90" s="3">
        <f>VLOOKUP(A90,'[2]CUMP Articles'!$A:$H,8,0)</f>
        <v>150</v>
      </c>
      <c r="I90" s="3">
        <f t="shared" si="3"/>
        <v>109500</v>
      </c>
      <c r="J90" s="3" t="str">
        <f>VLOOKUP(A90,'[3]Stock actif'!$A:$K,10,0)</f>
        <v>Non</v>
      </c>
      <c r="K90" s="3" t="str">
        <f>VLOOKUP(A90,'[3]Stock actif'!$A:$K,11,0)</f>
        <v>Générique</v>
      </c>
    </row>
    <row r="91" spans="1:11" x14ac:dyDescent="0.35">
      <c r="A91" s="3">
        <v>2249</v>
      </c>
      <c r="B91" s="3" t="s">
        <v>96</v>
      </c>
      <c r="C91" s="3" t="s">
        <v>4</v>
      </c>
      <c r="D91" s="3" t="s">
        <v>5</v>
      </c>
      <c r="E91" s="3"/>
      <c r="F91" s="3">
        <f>VLOOKUP(A91,[4]fnd_gfm_43298103!$B:$F,5,0)</f>
        <v>3403</v>
      </c>
      <c r="G91" s="3">
        <f t="shared" si="2"/>
        <v>3403</v>
      </c>
      <c r="H91" s="3">
        <f>VLOOKUP(A91,'[2]CUMP Articles'!$A:$H,8,0)</f>
        <v>172.24795737144001</v>
      </c>
      <c r="I91" s="3">
        <f t="shared" si="3"/>
        <v>586159.79893501033</v>
      </c>
      <c r="J91" s="3" t="str">
        <f>VLOOKUP(A91,'[3]Stock actif'!$A:$K,10,0)</f>
        <v>Non</v>
      </c>
      <c r="K91" s="3" t="str">
        <f>VLOOKUP(A91,'[3]Stock actif'!$A:$K,11,0)</f>
        <v>Générique</v>
      </c>
    </row>
    <row r="92" spans="1:11" x14ac:dyDescent="0.35">
      <c r="A92" s="3">
        <v>2259</v>
      </c>
      <c r="B92" s="3" t="s">
        <v>97</v>
      </c>
      <c r="C92" s="3" t="s">
        <v>4</v>
      </c>
      <c r="D92" s="3" t="s">
        <v>5</v>
      </c>
      <c r="E92" s="3">
        <f>VLOOKUP(A92,[1]fnd_gfm_43298102!$B:$F,5,0)</f>
        <v>4</v>
      </c>
      <c r="F92" s="3">
        <f>VLOOKUP(A92,[4]fnd_gfm_43298103!$B:$F,5,0)</f>
        <v>29</v>
      </c>
      <c r="G92" s="3">
        <f t="shared" si="2"/>
        <v>33</v>
      </c>
      <c r="H92" s="3">
        <f>VLOOKUP(A92,'[2]CUMP Articles'!$A:$H,8,0)</f>
        <v>137911.67946499999</v>
      </c>
      <c r="I92" s="3">
        <f t="shared" si="3"/>
        <v>4551085.4223449994</v>
      </c>
      <c r="J92" s="3" t="str">
        <f>VLOOKUP(A92,'[3]Stock actif'!$A:$K,10,0)</f>
        <v>Oui</v>
      </c>
      <c r="K92" s="3" t="str">
        <f>VLOOKUP(A92,'[3]Stock actif'!$A:$K,11,0)</f>
        <v>Alcatel-Lucent</v>
      </c>
    </row>
    <row r="93" spans="1:11" x14ac:dyDescent="0.35">
      <c r="A93" s="3">
        <v>2262</v>
      </c>
      <c r="B93" s="3" t="s">
        <v>98</v>
      </c>
      <c r="C93" s="3" t="s">
        <v>4</v>
      </c>
      <c r="D93" s="3" t="s">
        <v>5</v>
      </c>
      <c r="E93" s="3"/>
      <c r="F93" s="3">
        <f>VLOOKUP(A93,[4]fnd_gfm_43298103!$B:$F,5,0)</f>
        <v>1</v>
      </c>
      <c r="G93" s="3">
        <f t="shared" si="2"/>
        <v>1</v>
      </c>
      <c r="H93" s="3">
        <f>VLOOKUP(A93,'[2]CUMP Articles'!$A:$H,8,0)</f>
        <v>104337</v>
      </c>
      <c r="I93" s="3">
        <f t="shared" si="3"/>
        <v>104337</v>
      </c>
      <c r="J93" s="3" t="str">
        <f>VLOOKUP(A93,'[3]Stock actif'!$A:$K,10,0)</f>
        <v>Oui</v>
      </c>
      <c r="K93" s="3" t="str">
        <f>VLOOKUP(A93,'[3]Stock actif'!$A:$K,11,0)</f>
        <v>Alcatel-Lucent</v>
      </c>
    </row>
    <row r="94" spans="1:11" x14ac:dyDescent="0.35">
      <c r="A94" s="3">
        <v>2264</v>
      </c>
      <c r="B94" s="3" t="s">
        <v>99</v>
      </c>
      <c r="C94" s="3" t="s">
        <v>4</v>
      </c>
      <c r="D94" s="3" t="s">
        <v>5</v>
      </c>
      <c r="E94" s="3">
        <f>VLOOKUP(A94,[1]fnd_gfm_43298102!$B:$F,5,0)</f>
        <v>2</v>
      </c>
      <c r="F94" s="3"/>
      <c r="G94" s="3">
        <f t="shared" si="2"/>
        <v>2</v>
      </c>
      <c r="H94" s="3">
        <f>VLOOKUP(A94,'[2]CUMP Articles'!$A:$H,8,0)</f>
        <v>170404</v>
      </c>
      <c r="I94" s="3">
        <f t="shared" si="3"/>
        <v>340808</v>
      </c>
      <c r="J94" s="3" t="str">
        <f>VLOOKUP(A94,'[3]Stock actif'!$A:$K,10,0)</f>
        <v>Oui</v>
      </c>
      <c r="K94" s="3" t="str">
        <f>VLOOKUP(A94,'[3]Stock actif'!$A:$K,11,0)</f>
        <v>Fortinet</v>
      </c>
    </row>
    <row r="95" spans="1:11" x14ac:dyDescent="0.35">
      <c r="A95" s="3">
        <v>2281</v>
      </c>
      <c r="B95" s="3" t="s">
        <v>100</v>
      </c>
      <c r="C95" s="3" t="s">
        <v>4</v>
      </c>
      <c r="D95" s="3" t="s">
        <v>5</v>
      </c>
      <c r="E95" s="3"/>
      <c r="F95" s="3">
        <f>VLOOKUP(A95,[4]fnd_gfm_43298103!$B:$F,5,0)</f>
        <v>1</v>
      </c>
      <c r="G95" s="3">
        <f t="shared" si="2"/>
        <v>1</v>
      </c>
      <c r="H95" s="3">
        <f>VLOOKUP(A95,'[2]CUMP Articles'!$A:$H,8,0)</f>
        <v>20663</v>
      </c>
      <c r="I95" s="3">
        <f t="shared" si="3"/>
        <v>20663</v>
      </c>
      <c r="J95" s="3" t="str">
        <f>VLOOKUP(A95,'[3]Stock actif'!$A:$K,10,0)</f>
        <v>Oui</v>
      </c>
      <c r="K95" s="3" t="str">
        <f>VLOOKUP(A95,'[3]Stock actif'!$A:$K,11,0)</f>
        <v>Cisco</v>
      </c>
    </row>
    <row r="96" spans="1:11" x14ac:dyDescent="0.35">
      <c r="A96" s="3">
        <v>2282</v>
      </c>
      <c r="B96" s="3" t="s">
        <v>101</v>
      </c>
      <c r="C96" s="3" t="s">
        <v>4</v>
      </c>
      <c r="D96" s="3" t="s">
        <v>5</v>
      </c>
      <c r="E96" s="3">
        <f>VLOOKUP(A96,[1]fnd_gfm_43298102!$B:$F,5,0)</f>
        <v>2</v>
      </c>
      <c r="F96" s="3">
        <f>VLOOKUP(A96,[4]fnd_gfm_43298103!$B:$F,5,0)</f>
        <v>34</v>
      </c>
      <c r="G96" s="3">
        <f t="shared" si="2"/>
        <v>36</v>
      </c>
      <c r="H96" s="3">
        <f>VLOOKUP(A96,'[2]CUMP Articles'!$A:$H,8,0)</f>
        <v>203367.93006993001</v>
      </c>
      <c r="I96" s="3">
        <f t="shared" si="3"/>
        <v>7321245.4825174799</v>
      </c>
      <c r="J96" s="3" t="str">
        <f>VLOOKUP(A96,'[3]Stock actif'!$A:$K,10,0)</f>
        <v>Oui</v>
      </c>
      <c r="K96" s="3" t="str">
        <f>VLOOKUP(A96,'[3]Stock actif'!$A:$K,11,0)</f>
        <v>Alcatel-Lucent</v>
      </c>
    </row>
    <row r="97" spans="1:11" x14ac:dyDescent="0.35">
      <c r="A97" s="3">
        <v>2284</v>
      </c>
      <c r="B97" s="3" t="s">
        <v>102</v>
      </c>
      <c r="C97" s="3" t="s">
        <v>4</v>
      </c>
      <c r="D97" s="3" t="s">
        <v>5</v>
      </c>
      <c r="E97" s="3">
        <f>VLOOKUP(A97,[1]fnd_gfm_43298102!$B:$F,5,0)</f>
        <v>2</v>
      </c>
      <c r="F97" s="3">
        <f>VLOOKUP(A97,[4]fnd_gfm_43298103!$B:$F,5,0)</f>
        <v>7</v>
      </c>
      <c r="G97" s="3">
        <f t="shared" si="2"/>
        <v>9</v>
      </c>
      <c r="H97" s="3">
        <f>VLOOKUP(A97,'[2]CUMP Articles'!$A:$H,8,0)</f>
        <v>160000</v>
      </c>
      <c r="I97" s="3">
        <f t="shared" si="3"/>
        <v>1440000</v>
      </c>
      <c r="J97" s="3" t="str">
        <f>VLOOKUP(A97,'[3]Stock actif'!$A:$K,10,0)</f>
        <v>Non</v>
      </c>
      <c r="K97" s="3" t="str">
        <f>VLOOKUP(A97,'[3]Stock actif'!$A:$K,11,0)</f>
        <v>Générique</v>
      </c>
    </row>
    <row r="98" spans="1:11" x14ac:dyDescent="0.35">
      <c r="A98" s="3">
        <v>2286</v>
      </c>
      <c r="B98" s="3" t="s">
        <v>103</v>
      </c>
      <c r="C98" s="3" t="s">
        <v>4</v>
      </c>
      <c r="D98" s="3" t="s">
        <v>5</v>
      </c>
      <c r="E98" s="3">
        <f>VLOOKUP(A98,[1]fnd_gfm_43298102!$B:$F,5,0)</f>
        <v>1</v>
      </c>
      <c r="F98" s="3">
        <f>VLOOKUP(A98,[4]fnd_gfm_43298103!$B:$F,5,0)</f>
        <v>16</v>
      </c>
      <c r="G98" s="3">
        <f t="shared" si="2"/>
        <v>17</v>
      </c>
      <c r="H98" s="3">
        <f>VLOOKUP(A98,'[2]CUMP Articles'!$A:$H,8,0)</f>
        <v>159715.71660000001</v>
      </c>
      <c r="I98" s="3">
        <f t="shared" si="3"/>
        <v>2715167.1822000002</v>
      </c>
      <c r="J98" s="3" t="str">
        <f>VLOOKUP(A98,'[3]Stock actif'!$A:$K,10,0)</f>
        <v>Oui</v>
      </c>
      <c r="K98" s="3" t="str">
        <f>VLOOKUP(A98,'[3]Stock actif'!$A:$K,11,0)</f>
        <v>Alcatel-Lucent</v>
      </c>
    </row>
    <row r="99" spans="1:11" x14ac:dyDescent="0.35">
      <c r="A99" s="3">
        <v>2288</v>
      </c>
      <c r="B99" s="3" t="s">
        <v>104</v>
      </c>
      <c r="C99" s="3" t="s">
        <v>4</v>
      </c>
      <c r="D99" s="3" t="s">
        <v>5</v>
      </c>
      <c r="E99" s="3"/>
      <c r="F99" s="3">
        <f>VLOOKUP(A99,[4]fnd_gfm_43298103!$B:$F,5,0)</f>
        <v>12</v>
      </c>
      <c r="G99" s="3">
        <f t="shared" si="2"/>
        <v>12</v>
      </c>
      <c r="H99" s="3">
        <f>VLOOKUP(A99,'[2]CUMP Articles'!$A:$H,8,0)</f>
        <v>169219.51069166599</v>
      </c>
      <c r="I99" s="3">
        <f t="shared" si="3"/>
        <v>2030634.1282999918</v>
      </c>
      <c r="J99" s="3" t="str">
        <f>VLOOKUP(A99,'[3]Stock actif'!$A:$K,10,0)</f>
        <v>Oui</v>
      </c>
      <c r="K99" s="3" t="str">
        <f>VLOOKUP(A99,'[3]Stock actif'!$A:$K,11,0)</f>
        <v>Alcatel-Lucent</v>
      </c>
    </row>
    <row r="100" spans="1:11" x14ac:dyDescent="0.35">
      <c r="A100" s="3">
        <v>2289</v>
      </c>
      <c r="B100" s="3" t="s">
        <v>105</v>
      </c>
      <c r="C100" s="3" t="s">
        <v>4</v>
      </c>
      <c r="D100" s="3" t="s">
        <v>5</v>
      </c>
      <c r="E100" s="3"/>
      <c r="F100" s="3">
        <f>VLOOKUP(A100,[4]fnd_gfm_43298103!$B:$F,5,0)</f>
        <v>7</v>
      </c>
      <c r="G100" s="3">
        <f t="shared" si="2"/>
        <v>7</v>
      </c>
      <c r="H100" s="3">
        <f>VLOOKUP(A100,'[2]CUMP Articles'!$A:$H,8,0)</f>
        <v>63365</v>
      </c>
      <c r="I100" s="3">
        <f t="shared" si="3"/>
        <v>443555</v>
      </c>
      <c r="J100" s="3" t="str">
        <f>VLOOKUP(A100,'[3]Stock actif'!$A:$K,10,0)</f>
        <v>Oui</v>
      </c>
      <c r="K100" s="3" t="str">
        <f>VLOOKUP(A100,'[3]Stock actif'!$A:$K,11,0)</f>
        <v>Générique</v>
      </c>
    </row>
    <row r="101" spans="1:11" x14ac:dyDescent="0.35">
      <c r="A101" s="3">
        <v>2290</v>
      </c>
      <c r="B101" s="3" t="s">
        <v>106</v>
      </c>
      <c r="C101" s="3" t="s">
        <v>4</v>
      </c>
      <c r="D101" s="3" t="s">
        <v>5</v>
      </c>
      <c r="E101" s="3">
        <f>VLOOKUP(A101,[1]fnd_gfm_43298102!$B:$F,5,0)</f>
        <v>5</v>
      </c>
      <c r="F101" s="3"/>
      <c r="G101" s="3">
        <f t="shared" si="2"/>
        <v>5</v>
      </c>
      <c r="H101" s="3">
        <f>VLOOKUP(A101,'[2]CUMP Articles'!$A:$H,8,0)</f>
        <v>65596</v>
      </c>
      <c r="I101" s="3">
        <f t="shared" si="3"/>
        <v>327980</v>
      </c>
      <c r="J101" s="3" t="str">
        <f>VLOOKUP(A101,'[3]Stock actif'!$A:$K,10,0)</f>
        <v>Oui</v>
      </c>
      <c r="K101" s="3" t="str">
        <f>VLOOKUP(A101,'[3]Stock actif'!$A:$K,11,0)</f>
        <v>Alcatel-Lucent</v>
      </c>
    </row>
    <row r="102" spans="1:11" x14ac:dyDescent="0.35">
      <c r="A102" s="3">
        <v>2292</v>
      </c>
      <c r="B102" s="3" t="s">
        <v>107</v>
      </c>
      <c r="C102" s="3" t="s">
        <v>4</v>
      </c>
      <c r="D102" s="3" t="s">
        <v>5</v>
      </c>
      <c r="E102" s="3"/>
      <c r="F102" s="3">
        <f>VLOOKUP(A102,[4]fnd_gfm_43298103!$B:$F,5,0)</f>
        <v>1</v>
      </c>
      <c r="G102" s="3">
        <f t="shared" si="2"/>
        <v>1</v>
      </c>
      <c r="H102" s="3">
        <f>VLOOKUP(A102,'[2]CUMP Articles'!$A:$H,8,0)</f>
        <v>373938</v>
      </c>
      <c r="I102" s="3">
        <f t="shared" si="3"/>
        <v>373938</v>
      </c>
      <c r="J102" s="3" t="str">
        <f>VLOOKUP(A102,'[3]Stock actif'!$A:$K,10,0)</f>
        <v>Oui</v>
      </c>
      <c r="K102" s="3" t="str">
        <f>VLOOKUP(A102,'[3]Stock actif'!$A:$K,11,0)</f>
        <v>Cisco</v>
      </c>
    </row>
    <row r="103" spans="1:11" x14ac:dyDescent="0.35">
      <c r="A103" s="3">
        <v>2297</v>
      </c>
      <c r="B103" s="3" t="s">
        <v>108</v>
      </c>
      <c r="C103" s="3" t="s">
        <v>4</v>
      </c>
      <c r="D103" s="3" t="s">
        <v>5</v>
      </c>
      <c r="E103" s="3">
        <f>VLOOKUP(A103,[1]fnd_gfm_43298102!$B:$F,5,0)</f>
        <v>8</v>
      </c>
      <c r="F103" s="3">
        <f>VLOOKUP(A103,[4]fnd_gfm_43298103!$B:$F,5,0)</f>
        <v>10</v>
      </c>
      <c r="G103" s="3">
        <f t="shared" si="2"/>
        <v>18</v>
      </c>
      <c r="H103" s="3">
        <f>VLOOKUP(A103,'[2]CUMP Articles'!$A:$H,8,0)</f>
        <v>34061.916054328998</v>
      </c>
      <c r="I103" s="3">
        <f t="shared" si="3"/>
        <v>613114.48897792201</v>
      </c>
      <c r="J103" s="3" t="str">
        <f>VLOOKUP(A103,'[3]Stock actif'!$A:$K,10,0)</f>
        <v>Oui</v>
      </c>
      <c r="K103" s="3" t="str">
        <f>VLOOKUP(A103,'[3]Stock actif'!$A:$K,11,0)</f>
        <v>Alcatel-Lucent</v>
      </c>
    </row>
    <row r="104" spans="1:11" x14ac:dyDescent="0.35">
      <c r="A104" s="3">
        <v>2327</v>
      </c>
      <c r="B104" s="3" t="s">
        <v>109</v>
      </c>
      <c r="C104" s="3" t="s">
        <v>4</v>
      </c>
      <c r="D104" s="3" t="s">
        <v>5</v>
      </c>
      <c r="E104" s="3">
        <f>VLOOKUP(A104,[1]fnd_gfm_43298102!$B:$F,5,0)</f>
        <v>6</v>
      </c>
      <c r="F104" s="3">
        <f>VLOOKUP(A104,[4]fnd_gfm_43298103!$B:$F,5,0)</f>
        <v>4</v>
      </c>
      <c r="G104" s="3">
        <f t="shared" si="2"/>
        <v>10</v>
      </c>
      <c r="H104" s="3">
        <f>VLOOKUP(A104,'[2]CUMP Articles'!$A:$H,8,0)</f>
        <v>175760.99457485901</v>
      </c>
      <c r="I104" s="3">
        <f t="shared" si="3"/>
        <v>1757609.9457485902</v>
      </c>
      <c r="J104" s="3" t="str">
        <f>VLOOKUP(A104,'[3]Stock actif'!$A:$K,10,0)</f>
        <v>Oui</v>
      </c>
      <c r="K104" s="3" t="str">
        <f>VLOOKUP(A104,'[3]Stock actif'!$A:$K,11,0)</f>
        <v>Fortinet</v>
      </c>
    </row>
    <row r="105" spans="1:11" x14ac:dyDescent="0.35">
      <c r="A105" s="3">
        <v>2337</v>
      </c>
      <c r="B105" s="3" t="s">
        <v>110</v>
      </c>
      <c r="C105" s="3" t="s">
        <v>4</v>
      </c>
      <c r="D105" s="3" t="s">
        <v>5</v>
      </c>
      <c r="E105" s="3">
        <f>VLOOKUP(A105,[1]fnd_gfm_43298102!$B:$F,5,0)</f>
        <v>27</v>
      </c>
      <c r="F105" s="3"/>
      <c r="G105" s="3">
        <f t="shared" si="2"/>
        <v>27</v>
      </c>
      <c r="H105" s="3">
        <f>VLOOKUP(A105,'[2]CUMP Articles'!$A:$H,8,0)</f>
        <v>61858.6009969796</v>
      </c>
      <c r="I105" s="3">
        <f t="shared" si="3"/>
        <v>1670182.2269184492</v>
      </c>
      <c r="J105" s="3" t="str">
        <f>VLOOKUP(A105,'[3]Stock actif'!$A:$K,10,0)</f>
        <v>oui</v>
      </c>
      <c r="K105" s="3" t="str">
        <f>VLOOKUP(A105,'[3]Stock actif'!$A:$K,11,0)</f>
        <v>Alcatel-Lucent</v>
      </c>
    </row>
    <row r="106" spans="1:11" x14ac:dyDescent="0.35">
      <c r="A106" s="3">
        <v>2347</v>
      </c>
      <c r="B106" s="3" t="s">
        <v>111</v>
      </c>
      <c r="C106" s="3" t="s">
        <v>4</v>
      </c>
      <c r="D106" s="3" t="s">
        <v>5</v>
      </c>
      <c r="E106" s="3">
        <f>VLOOKUP(A106,[1]fnd_gfm_43298102!$B:$F,5,0)</f>
        <v>8</v>
      </c>
      <c r="F106" s="3">
        <f>VLOOKUP(A106,[4]fnd_gfm_43298103!$B:$F,5,0)</f>
        <v>21</v>
      </c>
      <c r="G106" s="3">
        <f t="shared" si="2"/>
        <v>29</v>
      </c>
      <c r="H106" s="3">
        <f>VLOOKUP(A106,'[2]CUMP Articles'!$A:$H,8,0)</f>
        <v>49719.527921282701</v>
      </c>
      <c r="I106" s="3">
        <f t="shared" si="3"/>
        <v>1441866.3097171984</v>
      </c>
      <c r="J106" s="3" t="str">
        <f>VLOOKUP(A106,'[3]Stock actif'!$A:$K,10,0)</f>
        <v>Oui</v>
      </c>
      <c r="K106" s="3" t="str">
        <f>VLOOKUP(A106,'[3]Stock actif'!$A:$K,11,0)</f>
        <v>Alcatel-Lucent</v>
      </c>
    </row>
    <row r="107" spans="1:11" x14ac:dyDescent="0.35">
      <c r="A107" s="3">
        <v>2349</v>
      </c>
      <c r="B107" s="3" t="s">
        <v>112</v>
      </c>
      <c r="C107" s="3" t="s">
        <v>4</v>
      </c>
      <c r="D107" s="3" t="s">
        <v>5</v>
      </c>
      <c r="E107" s="3">
        <f>VLOOKUP(A107,[1]fnd_gfm_43298102!$B:$F,5,0)</f>
        <v>1</v>
      </c>
      <c r="F107" s="3">
        <f>VLOOKUP(A107,[4]fnd_gfm_43298103!$B:$F,5,0)</f>
        <v>14</v>
      </c>
      <c r="G107" s="3">
        <f t="shared" si="2"/>
        <v>15</v>
      </c>
      <c r="H107" s="3">
        <f>VLOOKUP(A107,'[2]CUMP Articles'!$A:$H,8,0)</f>
        <v>72952.237500000003</v>
      </c>
      <c r="I107" s="3">
        <f t="shared" si="3"/>
        <v>1094283.5625</v>
      </c>
      <c r="J107" s="3" t="str">
        <f>VLOOKUP(A107,'[3]Stock actif'!$A:$K,10,0)</f>
        <v>Oui</v>
      </c>
      <c r="K107" s="3" t="str">
        <f>VLOOKUP(A107,'[3]Stock actif'!$A:$K,11,0)</f>
        <v>Alcatel-Lucent</v>
      </c>
    </row>
    <row r="108" spans="1:11" x14ac:dyDescent="0.35">
      <c r="A108" s="3">
        <v>2366</v>
      </c>
      <c r="B108" s="3" t="s">
        <v>113</v>
      </c>
      <c r="C108" s="3" t="s">
        <v>4</v>
      </c>
      <c r="D108" s="3" t="s">
        <v>5</v>
      </c>
      <c r="E108" s="3">
        <f>VLOOKUP(A108,[1]fnd_gfm_43298102!$B:$F,5,0)</f>
        <v>1</v>
      </c>
      <c r="F108" s="3">
        <f>VLOOKUP(A108,[4]fnd_gfm_43298103!$B:$F,5,0)</f>
        <v>18</v>
      </c>
      <c r="G108" s="3">
        <f t="shared" si="2"/>
        <v>19</v>
      </c>
      <c r="H108" s="3">
        <f>VLOOKUP(A108,'[2]CUMP Articles'!$A:$H,8,0)</f>
        <v>1476</v>
      </c>
      <c r="I108" s="3">
        <f t="shared" si="3"/>
        <v>28044</v>
      </c>
      <c r="J108" s="3" t="str">
        <f>VLOOKUP(A108,'[3]Stock actif'!$A:$K,10,0)</f>
        <v>Non</v>
      </c>
      <c r="K108" s="3" t="str">
        <f>VLOOKUP(A108,'[3]Stock actif'!$A:$K,11,0)</f>
        <v>Générique</v>
      </c>
    </row>
    <row r="109" spans="1:11" x14ac:dyDescent="0.35">
      <c r="A109" s="3">
        <v>2368</v>
      </c>
      <c r="B109" s="3" t="s">
        <v>114</v>
      </c>
      <c r="C109" s="3" t="s">
        <v>4</v>
      </c>
      <c r="D109" s="3" t="s">
        <v>5</v>
      </c>
      <c r="E109" s="3">
        <f>VLOOKUP(A109,[1]fnd_gfm_43298102!$B:$F,5,0)</f>
        <v>1</v>
      </c>
      <c r="F109" s="3"/>
      <c r="G109" s="3">
        <f t="shared" si="2"/>
        <v>1</v>
      </c>
      <c r="H109" s="3">
        <f>VLOOKUP(A109,'[2]CUMP Articles'!$A:$H,8,0)</f>
        <v>444678</v>
      </c>
      <c r="I109" s="3">
        <f t="shared" si="3"/>
        <v>444678</v>
      </c>
      <c r="J109" s="3" t="str">
        <f>VLOOKUP(A109,'[3]Stock actif'!$A:$K,10,0)</f>
        <v>Oui</v>
      </c>
      <c r="K109" s="3" t="str">
        <f>VLOOKUP(A109,'[3]Stock actif'!$A:$K,11,0)</f>
        <v>Cisco</v>
      </c>
    </row>
    <row r="110" spans="1:11" x14ac:dyDescent="0.35">
      <c r="A110" s="3">
        <v>2371</v>
      </c>
      <c r="B110" s="3" t="s">
        <v>115</v>
      </c>
      <c r="C110" s="3" t="s">
        <v>4</v>
      </c>
      <c r="D110" s="3" t="s">
        <v>13</v>
      </c>
      <c r="E110" s="3"/>
      <c r="F110" s="3">
        <f>VLOOKUP(A110,[4]fnd_gfm_43298103!$B:$F,5,0)</f>
        <v>5185</v>
      </c>
      <c r="G110" s="3">
        <f t="shared" si="2"/>
        <v>5185</v>
      </c>
      <c r="H110" s="3">
        <f>VLOOKUP(A110,'[2]CUMP Articles'!$A:$H,8,0)</f>
        <v>241</v>
      </c>
      <c r="I110" s="3">
        <f t="shared" si="3"/>
        <v>1249585</v>
      </c>
      <c r="J110" s="3" t="str">
        <f>VLOOKUP(A110,'[3]Stock actif'!$A:$K,10,0)</f>
        <v>Non</v>
      </c>
      <c r="K110" s="3" t="str">
        <f>VLOOKUP(A110,'[3]Stock actif'!$A:$K,11,0)</f>
        <v>Générique</v>
      </c>
    </row>
    <row r="111" spans="1:11" x14ac:dyDescent="0.35">
      <c r="A111" s="3">
        <v>2390</v>
      </c>
      <c r="B111" s="3" t="s">
        <v>116</v>
      </c>
      <c r="C111" s="3" t="s">
        <v>4</v>
      </c>
      <c r="D111" s="3" t="s">
        <v>5</v>
      </c>
      <c r="E111" s="3"/>
      <c r="F111" s="3">
        <f>VLOOKUP(A111,[4]fnd_gfm_43298103!$B:$F,5,0)</f>
        <v>3</v>
      </c>
      <c r="G111" s="3">
        <f t="shared" si="2"/>
        <v>3</v>
      </c>
      <c r="H111" s="3">
        <f>VLOOKUP(A111,'[2]CUMP Articles'!$A:$H,8,0)</f>
        <v>162334</v>
      </c>
      <c r="I111" s="3">
        <f t="shared" si="3"/>
        <v>487002</v>
      </c>
      <c r="J111" s="3" t="str">
        <f>VLOOKUP(A111,'[3]Stock actif'!$A:$K,10,0)</f>
        <v>Oui</v>
      </c>
      <c r="K111" s="3" t="str">
        <f>VLOOKUP(A111,'[3]Stock actif'!$A:$K,11,0)</f>
        <v>Alcatel-Lucent</v>
      </c>
    </row>
    <row r="112" spans="1:11" x14ac:dyDescent="0.35">
      <c r="A112" s="3">
        <v>2397</v>
      </c>
      <c r="B112" s="3" t="s">
        <v>117</v>
      </c>
      <c r="C112" s="3" t="s">
        <v>4</v>
      </c>
      <c r="D112" s="3" t="s">
        <v>5</v>
      </c>
      <c r="E112" s="3">
        <f>VLOOKUP(A112,[1]fnd_gfm_43298102!$B:$F,5,0)</f>
        <v>1</v>
      </c>
      <c r="F112" s="3"/>
      <c r="G112" s="3">
        <f t="shared" si="2"/>
        <v>1</v>
      </c>
      <c r="H112" s="3">
        <f>VLOOKUP(A112,'[2]CUMP Articles'!$A:$H,8,0)</f>
        <v>349094</v>
      </c>
      <c r="I112" s="3">
        <f t="shared" si="3"/>
        <v>349094</v>
      </c>
      <c r="J112" s="3" t="str">
        <f>VLOOKUP(A112,'[3]Stock actif'!$A:$K,10,0)</f>
        <v>Oui</v>
      </c>
      <c r="K112" s="3" t="str">
        <f>VLOOKUP(A112,'[3]Stock actif'!$A:$K,11,0)</f>
        <v>Cisco</v>
      </c>
    </row>
    <row r="113" spans="1:11" x14ac:dyDescent="0.35">
      <c r="A113" s="3">
        <v>2408</v>
      </c>
      <c r="B113" s="3" t="s">
        <v>118</v>
      </c>
      <c r="C113" s="3" t="s">
        <v>4</v>
      </c>
      <c r="D113" s="3" t="s">
        <v>5</v>
      </c>
      <c r="E113" s="3"/>
      <c r="F113" s="3">
        <f>VLOOKUP(A113,[4]fnd_gfm_43298103!$B:$F,5,0)</f>
        <v>3</v>
      </c>
      <c r="G113" s="3">
        <f t="shared" si="2"/>
        <v>3</v>
      </c>
      <c r="H113" s="3">
        <f>VLOOKUP(A113,'[2]CUMP Articles'!$A:$H,8,0)</f>
        <v>7871</v>
      </c>
      <c r="I113" s="3">
        <f t="shared" si="3"/>
        <v>23613</v>
      </c>
      <c r="J113" s="3" t="str">
        <f>VLOOKUP(A113,'[3]Stock actif'!$A:$K,10,0)</f>
        <v>Oui</v>
      </c>
      <c r="K113" s="3" t="str">
        <f>VLOOKUP(A113,'[3]Stock actif'!$A:$K,11,0)</f>
        <v>Générique</v>
      </c>
    </row>
    <row r="114" spans="1:11" x14ac:dyDescent="0.35">
      <c r="A114" s="3">
        <v>2414</v>
      </c>
      <c r="B114" s="3" t="s">
        <v>119</v>
      </c>
      <c r="C114" s="3" t="s">
        <v>4</v>
      </c>
      <c r="D114" s="3" t="s">
        <v>5</v>
      </c>
      <c r="E114" s="3">
        <f>VLOOKUP(A114,[1]fnd_gfm_43298102!$B:$F,5,0)</f>
        <v>15</v>
      </c>
      <c r="F114" s="3"/>
      <c r="G114" s="3">
        <f t="shared" si="2"/>
        <v>15</v>
      </c>
      <c r="H114" s="3">
        <f>VLOOKUP(A114,'[2]CUMP Articles'!$A:$H,8,0)</f>
        <v>24493.434379999999</v>
      </c>
      <c r="I114" s="3">
        <f t="shared" si="3"/>
        <v>367401.51569999999</v>
      </c>
      <c r="J114" s="3" t="str">
        <f>VLOOKUP(A114,'[3]Stock actif'!$A:$K,10,0)</f>
        <v>Oui</v>
      </c>
      <c r="K114" s="3" t="str">
        <f>VLOOKUP(A114,'[3]Stock actif'!$A:$K,11,0)</f>
        <v>Grandstream</v>
      </c>
    </row>
    <row r="115" spans="1:11" x14ac:dyDescent="0.35">
      <c r="A115" s="3">
        <v>2454</v>
      </c>
      <c r="B115" s="3" t="s">
        <v>121</v>
      </c>
      <c r="C115" s="3" t="s">
        <v>4</v>
      </c>
      <c r="D115" s="3" t="s">
        <v>120</v>
      </c>
      <c r="E115" s="3">
        <f>VLOOKUP(A115,[1]fnd_gfm_43298102!$B:$F,5,0)</f>
        <v>5</v>
      </c>
      <c r="F115" s="3">
        <f>VLOOKUP(A115,[4]fnd_gfm_43298103!$B:$F,5,0)</f>
        <v>168</v>
      </c>
      <c r="G115" s="3">
        <f t="shared" si="2"/>
        <v>173</v>
      </c>
      <c r="H115" s="3">
        <f>VLOOKUP(A115,'[2]CUMP Articles'!$A:$H,8,0)</f>
        <v>847</v>
      </c>
      <c r="I115" s="3">
        <f t="shared" si="3"/>
        <v>146531</v>
      </c>
      <c r="J115" s="3" t="str">
        <f>VLOOKUP(A115,'[3]Stock actif'!$A:$K,10,0)</f>
        <v>Non</v>
      </c>
      <c r="K115" s="3" t="str">
        <f>VLOOKUP(A115,'[3]Stock actif'!$A:$K,11,0)</f>
        <v>Générique</v>
      </c>
    </row>
    <row r="116" spans="1:11" x14ac:dyDescent="0.35">
      <c r="A116" s="3">
        <v>2455</v>
      </c>
      <c r="B116" s="3" t="s">
        <v>122</v>
      </c>
      <c r="C116" s="3" t="s">
        <v>4</v>
      </c>
      <c r="D116" s="3" t="s">
        <v>120</v>
      </c>
      <c r="E116" s="3"/>
      <c r="F116" s="3">
        <f>VLOOKUP(A116,[4]fnd_gfm_43298103!$B:$F,5,0)</f>
        <v>50</v>
      </c>
      <c r="G116" s="3">
        <f t="shared" si="2"/>
        <v>50</v>
      </c>
      <c r="H116" s="3">
        <f>VLOOKUP(A116,'[2]CUMP Articles'!$A:$H,8,0)</f>
        <v>1500</v>
      </c>
      <c r="I116" s="3">
        <f t="shared" si="3"/>
        <v>75000</v>
      </c>
      <c r="J116" s="3" t="str">
        <f>VLOOKUP(A116,'[3]Stock actif'!$A:$K,10,0)</f>
        <v>Non</v>
      </c>
      <c r="K116" s="3" t="str">
        <f>VLOOKUP(A116,'[3]Stock actif'!$A:$K,11,0)</f>
        <v>Générique</v>
      </c>
    </row>
    <row r="117" spans="1:11" x14ac:dyDescent="0.35">
      <c r="A117" s="3">
        <v>2460</v>
      </c>
      <c r="B117" s="3" t="s">
        <v>123</v>
      </c>
      <c r="C117" s="3" t="s">
        <v>4</v>
      </c>
      <c r="D117" s="3" t="s">
        <v>120</v>
      </c>
      <c r="E117" s="3"/>
      <c r="F117" s="3">
        <f>VLOOKUP(A117,[4]fnd_gfm_43298103!$B:$F,5,0)</f>
        <v>18</v>
      </c>
      <c r="G117" s="3">
        <f t="shared" si="2"/>
        <v>18</v>
      </c>
      <c r="H117" s="3">
        <f>VLOOKUP(A117,'[2]CUMP Articles'!$A:$H,8,0)</f>
        <v>3316</v>
      </c>
      <c r="I117" s="3">
        <f t="shared" si="3"/>
        <v>59688</v>
      </c>
      <c r="J117" s="3" t="str">
        <f>VLOOKUP(A117,'[3]Stock actif'!$A:$K,10,0)</f>
        <v>Non</v>
      </c>
      <c r="K117" s="3" t="str">
        <f>VLOOKUP(A117,'[3]Stock actif'!$A:$K,11,0)</f>
        <v>Générique</v>
      </c>
    </row>
    <row r="118" spans="1:11" x14ac:dyDescent="0.35">
      <c r="A118" s="3">
        <v>2462</v>
      </c>
      <c r="B118" s="3" t="s">
        <v>124</v>
      </c>
      <c r="C118" s="3" t="s">
        <v>4</v>
      </c>
      <c r="D118" s="3" t="s">
        <v>120</v>
      </c>
      <c r="E118" s="3"/>
      <c r="F118" s="3">
        <f>VLOOKUP(A118,[4]fnd_gfm_43298103!$B:$F,5,0)</f>
        <v>4</v>
      </c>
      <c r="G118" s="3">
        <f t="shared" si="2"/>
        <v>4</v>
      </c>
      <c r="H118" s="3">
        <f>VLOOKUP(A118,'[2]CUMP Articles'!$A:$H,8,0)</f>
        <v>12560</v>
      </c>
      <c r="I118" s="3">
        <f t="shared" si="3"/>
        <v>50240</v>
      </c>
      <c r="J118" s="3" t="str">
        <f>VLOOKUP(A118,'[3]Stock actif'!$A:$K,10,0)</f>
        <v>Oui</v>
      </c>
      <c r="K118" s="3" t="str">
        <f>VLOOKUP(A118,'[3]Stock actif'!$A:$K,11,0)</f>
        <v>Nexans</v>
      </c>
    </row>
    <row r="119" spans="1:11" x14ac:dyDescent="0.35">
      <c r="A119" s="3">
        <v>2463</v>
      </c>
      <c r="B119" s="3" t="s">
        <v>125</v>
      </c>
      <c r="C119" s="3" t="s">
        <v>4</v>
      </c>
      <c r="D119" s="3" t="s">
        <v>120</v>
      </c>
      <c r="E119" s="3">
        <f>VLOOKUP(A119,[1]fnd_gfm_43298102!$B:$F,5,0)</f>
        <v>10</v>
      </c>
      <c r="F119" s="3">
        <f>VLOOKUP(A119,[4]fnd_gfm_43298103!$B:$F,5,0)</f>
        <v>341</v>
      </c>
      <c r="G119" s="3">
        <f t="shared" si="2"/>
        <v>351</v>
      </c>
      <c r="H119" s="3">
        <f>VLOOKUP(A119,'[2]CUMP Articles'!$A:$H,8,0)</f>
        <v>4415.3554817275699</v>
      </c>
      <c r="I119" s="3">
        <f t="shared" si="3"/>
        <v>1549789.7740863771</v>
      </c>
      <c r="J119" s="3" t="str">
        <f>VLOOKUP(A119,'[3]Stock actif'!$A:$K,10,0)</f>
        <v>Non</v>
      </c>
      <c r="K119" s="3" t="str">
        <f>VLOOKUP(A119,'[3]Stock actif'!$A:$K,11,0)</f>
        <v>Générique</v>
      </c>
    </row>
    <row r="120" spans="1:11" x14ac:dyDescent="0.35">
      <c r="A120" s="3">
        <v>2464</v>
      </c>
      <c r="B120" s="3" t="s">
        <v>126</v>
      </c>
      <c r="C120" s="3" t="s">
        <v>4</v>
      </c>
      <c r="D120" s="3" t="s">
        <v>120</v>
      </c>
      <c r="E120" s="3">
        <f>VLOOKUP(A120,[1]fnd_gfm_43298102!$B:$F,5,0)</f>
        <v>9</v>
      </c>
      <c r="F120" s="3">
        <f>VLOOKUP(A120,[4]fnd_gfm_43298103!$B:$F,5,0)</f>
        <v>170</v>
      </c>
      <c r="G120" s="3">
        <f t="shared" si="2"/>
        <v>179</v>
      </c>
      <c r="H120" s="3">
        <f>VLOOKUP(A120,'[2]CUMP Articles'!$A:$H,8,0)</f>
        <v>8891.8102483777093</v>
      </c>
      <c r="I120" s="3">
        <f t="shared" si="3"/>
        <v>1591634.03445961</v>
      </c>
      <c r="J120" s="3" t="str">
        <f>VLOOKUP(A120,'[3]Stock actif'!$A:$K,10,0)</f>
        <v>Non</v>
      </c>
      <c r="K120" s="3" t="str">
        <f>VLOOKUP(A120,'[3]Stock actif'!$A:$K,11,0)</f>
        <v>Générique</v>
      </c>
    </row>
    <row r="121" spans="1:11" x14ac:dyDescent="0.35">
      <c r="A121" s="3">
        <v>2465</v>
      </c>
      <c r="B121" s="3" t="s">
        <v>127</v>
      </c>
      <c r="C121" s="3" t="s">
        <v>4</v>
      </c>
      <c r="D121" s="3" t="s">
        <v>120</v>
      </c>
      <c r="E121" s="3">
        <f>VLOOKUP(A121,[1]fnd_gfm_43298102!$B:$F,5,0)</f>
        <v>3</v>
      </c>
      <c r="F121" s="3">
        <f>VLOOKUP(A121,[4]fnd_gfm_43298103!$B:$F,5,0)</f>
        <v>58</v>
      </c>
      <c r="G121" s="3">
        <f t="shared" si="2"/>
        <v>61</v>
      </c>
      <c r="H121" s="3">
        <f>VLOOKUP(A121,'[2]CUMP Articles'!$A:$H,8,0)</f>
        <v>3765.8488041421001</v>
      </c>
      <c r="I121" s="3">
        <f t="shared" si="3"/>
        <v>229716.7770526681</v>
      </c>
      <c r="J121" s="3" t="str">
        <f>VLOOKUP(A121,'[3]Stock actif'!$A:$K,10,0)</f>
        <v>Oui</v>
      </c>
      <c r="K121" s="3" t="str">
        <f>VLOOKUP(A121,'[3]Stock actif'!$A:$K,11,0)</f>
        <v>Alcatel-Lucent</v>
      </c>
    </row>
    <row r="122" spans="1:11" x14ac:dyDescent="0.35">
      <c r="A122" s="3">
        <v>2466</v>
      </c>
      <c r="B122" s="3" t="s">
        <v>128</v>
      </c>
      <c r="C122" s="3" t="s">
        <v>4</v>
      </c>
      <c r="D122" s="3" t="s">
        <v>120</v>
      </c>
      <c r="E122" s="3"/>
      <c r="F122" s="3">
        <f>VLOOKUP(A122,[4]fnd_gfm_43298103!$B:$F,5,0)</f>
        <v>34</v>
      </c>
      <c r="G122" s="3">
        <f t="shared" si="2"/>
        <v>34</v>
      </c>
      <c r="H122" s="3">
        <f>VLOOKUP(A122,'[2]CUMP Articles'!$A:$H,8,0)</f>
        <v>2500</v>
      </c>
      <c r="I122" s="3">
        <f t="shared" si="3"/>
        <v>85000</v>
      </c>
      <c r="J122" s="3" t="str">
        <f>VLOOKUP(A122,'[3]Stock actif'!$A:$K,10,0)</f>
        <v>Non</v>
      </c>
      <c r="K122" s="3" t="str">
        <f>VLOOKUP(A122,'[3]Stock actif'!$A:$K,11,0)</f>
        <v>Legrand</v>
      </c>
    </row>
    <row r="123" spans="1:11" x14ac:dyDescent="0.35">
      <c r="A123" s="3">
        <v>2467</v>
      </c>
      <c r="B123" s="3" t="s">
        <v>129</v>
      </c>
      <c r="C123" s="3" t="s">
        <v>4</v>
      </c>
      <c r="D123" s="3" t="s">
        <v>120</v>
      </c>
      <c r="E123" s="3">
        <f>VLOOKUP(A123,[1]fnd_gfm_43298102!$B:$F,5,0)</f>
        <v>2</v>
      </c>
      <c r="F123" s="3"/>
      <c r="G123" s="3">
        <f t="shared" si="2"/>
        <v>2</v>
      </c>
      <c r="H123" s="3">
        <f>VLOOKUP(A123,'[2]CUMP Articles'!$A:$H,8,0)</f>
        <v>181044.13200000001</v>
      </c>
      <c r="I123" s="3">
        <f t="shared" si="3"/>
        <v>362088.26400000002</v>
      </c>
      <c r="J123" s="3" t="str">
        <f>VLOOKUP(A123,'[3]Stock actif'!$A:$K,10,0)</f>
        <v>Oui</v>
      </c>
      <c r="K123" s="3" t="str">
        <f>VLOOKUP(A123,'[3]Stock actif'!$A:$K,11,0)</f>
        <v>Alcatel-Lucent</v>
      </c>
    </row>
    <row r="124" spans="1:11" x14ac:dyDescent="0.35">
      <c r="A124" s="3">
        <v>2468</v>
      </c>
      <c r="B124" s="3" t="s">
        <v>130</v>
      </c>
      <c r="C124" s="3" t="s">
        <v>4</v>
      </c>
      <c r="D124" s="3" t="s">
        <v>120</v>
      </c>
      <c r="E124" s="3">
        <f>VLOOKUP(A124,[1]fnd_gfm_43298102!$B:$F,5,0)</f>
        <v>9</v>
      </c>
      <c r="F124" s="3">
        <f>VLOOKUP(A124,[4]fnd_gfm_43298103!$B:$F,5,0)</f>
        <v>54</v>
      </c>
      <c r="G124" s="3">
        <f t="shared" si="2"/>
        <v>63</v>
      </c>
      <c r="H124" s="3">
        <f>VLOOKUP(A124,'[2]CUMP Articles'!$A:$H,8,0)</f>
        <v>3338.89602053915</v>
      </c>
      <c r="I124" s="3">
        <f t="shared" si="3"/>
        <v>210350.44929396643</v>
      </c>
      <c r="J124" s="3" t="str">
        <f>VLOOKUP(A124,'[3]Stock actif'!$A:$K,10,0)</f>
        <v>Non</v>
      </c>
      <c r="K124" s="3" t="str">
        <f>VLOOKUP(A124,'[3]Stock actif'!$A:$K,11,0)</f>
        <v>Générique</v>
      </c>
    </row>
    <row r="125" spans="1:11" x14ac:dyDescent="0.35">
      <c r="A125" s="3">
        <v>2474</v>
      </c>
      <c r="B125" s="3" t="s">
        <v>131</v>
      </c>
      <c r="C125" s="3" t="s">
        <v>4</v>
      </c>
      <c r="D125" s="3" t="s">
        <v>120</v>
      </c>
      <c r="E125" s="3"/>
      <c r="F125" s="3">
        <f>VLOOKUP(A125,[4]fnd_gfm_43298103!$B:$F,5,0)</f>
        <v>162</v>
      </c>
      <c r="G125" s="3">
        <f t="shared" si="2"/>
        <v>162</v>
      </c>
      <c r="H125" s="3">
        <f>VLOOKUP(A125,'[2]CUMP Articles'!$A:$H,8,0)</f>
        <v>2771</v>
      </c>
      <c r="I125" s="3">
        <f t="shared" si="3"/>
        <v>448902</v>
      </c>
      <c r="J125" s="3" t="str">
        <f>VLOOKUP(A125,'[3]Stock actif'!$A:$K,10,0)</f>
        <v>Non</v>
      </c>
      <c r="K125" s="3" t="str">
        <f>VLOOKUP(A125,'[3]Stock actif'!$A:$K,11,0)</f>
        <v>Générique</v>
      </c>
    </row>
    <row r="126" spans="1:11" x14ac:dyDescent="0.35">
      <c r="A126" s="3">
        <v>2477</v>
      </c>
      <c r="B126" s="3" t="s">
        <v>132</v>
      </c>
      <c r="C126" s="3" t="s">
        <v>4</v>
      </c>
      <c r="D126" s="3" t="s">
        <v>120</v>
      </c>
      <c r="E126" s="3">
        <f>VLOOKUP(A126,[1]fnd_gfm_43298102!$B:$F,5,0)</f>
        <v>3</v>
      </c>
      <c r="F126" s="3"/>
      <c r="G126" s="3">
        <f t="shared" si="2"/>
        <v>3</v>
      </c>
      <c r="H126" s="3">
        <f>VLOOKUP(A126,'[2]CUMP Articles'!$A:$H,8,0)</f>
        <v>121634.10651</v>
      </c>
      <c r="I126" s="3">
        <f t="shared" si="3"/>
        <v>364902.31952999998</v>
      </c>
      <c r="J126" s="3" t="str">
        <f>VLOOKUP(A126,'[3]Stock actif'!$A:$K,10,0)</f>
        <v>oui</v>
      </c>
      <c r="K126" s="3" t="str">
        <f>VLOOKUP(A126,'[3]Stock actif'!$A:$K,11,0)</f>
        <v>Grandstream</v>
      </c>
    </row>
    <row r="127" spans="1:11" x14ac:dyDescent="0.35">
      <c r="A127" s="3">
        <v>2478</v>
      </c>
      <c r="B127" s="3" t="s">
        <v>133</v>
      </c>
      <c r="C127" s="3" t="s">
        <v>4</v>
      </c>
      <c r="D127" s="3" t="s">
        <v>120</v>
      </c>
      <c r="E127" s="3">
        <f>VLOOKUP(A127,[1]fnd_gfm_43298102!$B:$F,5,0)</f>
        <v>24</v>
      </c>
      <c r="F127" s="3">
        <f>VLOOKUP(A127,[4]fnd_gfm_43298103!$B:$F,5,0)</f>
        <v>106</v>
      </c>
      <c r="G127" s="3">
        <f t="shared" si="2"/>
        <v>130</v>
      </c>
      <c r="H127" s="3">
        <f>VLOOKUP(A127,'[2]CUMP Articles'!$A:$H,8,0)</f>
        <v>17948.180064666602</v>
      </c>
      <c r="I127" s="3">
        <f t="shared" si="3"/>
        <v>2333263.4084066581</v>
      </c>
      <c r="J127" s="3" t="str">
        <f>VLOOKUP(A127,'[3]Stock actif'!$A:$K,10,0)</f>
        <v>Oui</v>
      </c>
      <c r="K127" s="3" t="str">
        <f>VLOOKUP(A127,'[3]Stock actif'!$A:$K,11,0)</f>
        <v>Nexans</v>
      </c>
    </row>
    <row r="128" spans="1:11" x14ac:dyDescent="0.35">
      <c r="A128" s="3">
        <v>2480</v>
      </c>
      <c r="B128" s="3" t="s">
        <v>134</v>
      </c>
      <c r="C128" s="3" t="s">
        <v>4</v>
      </c>
      <c r="D128" s="3" t="s">
        <v>13</v>
      </c>
      <c r="E128" s="3">
        <f>VLOOKUP(A128,[1]fnd_gfm_43298102!$B:$F,5,0)</f>
        <v>140</v>
      </c>
      <c r="F128" s="3">
        <f>VLOOKUP(A128,[4]fnd_gfm_43298103!$B:$F,5,0)</f>
        <v>500</v>
      </c>
      <c r="G128" s="3">
        <f t="shared" si="2"/>
        <v>640</v>
      </c>
      <c r="H128" s="3">
        <f>VLOOKUP(A128,'[2]CUMP Articles'!$A:$H,8,0)</f>
        <v>180</v>
      </c>
      <c r="I128" s="3">
        <f t="shared" si="3"/>
        <v>115200</v>
      </c>
      <c r="J128" s="3" t="str">
        <f>VLOOKUP(A128,'[3]Stock actif'!$A:$K,10,0)</f>
        <v>Non</v>
      </c>
      <c r="K128" s="3" t="str">
        <f>VLOOKUP(A128,'[3]Stock actif'!$A:$K,11,0)</f>
        <v>Générique</v>
      </c>
    </row>
    <row r="129" spans="1:11" x14ac:dyDescent="0.35">
      <c r="A129" s="3">
        <v>2481</v>
      </c>
      <c r="B129" s="3" t="s">
        <v>135</v>
      </c>
      <c r="C129" s="3" t="s">
        <v>4</v>
      </c>
      <c r="D129" s="3" t="s">
        <v>13</v>
      </c>
      <c r="E129" s="3"/>
      <c r="F129" s="3">
        <f>VLOOKUP(A129,[4]fnd_gfm_43298103!$B:$F,5,0)</f>
        <v>76</v>
      </c>
      <c r="G129" s="3">
        <f t="shared" si="2"/>
        <v>76</v>
      </c>
      <c r="H129" s="3">
        <f>VLOOKUP(A129,'[2]CUMP Articles'!$A:$H,8,0)</f>
        <v>1486</v>
      </c>
      <c r="I129" s="3">
        <f t="shared" si="3"/>
        <v>112936</v>
      </c>
      <c r="J129" s="3" t="str">
        <f>VLOOKUP(A129,'[3]Stock actif'!$A:$K,10,0)</f>
        <v>Non</v>
      </c>
      <c r="K129" s="3" t="str">
        <f>VLOOKUP(A129,'[3]Stock actif'!$A:$K,11,0)</f>
        <v>Générique</v>
      </c>
    </row>
    <row r="130" spans="1:11" x14ac:dyDescent="0.35">
      <c r="A130" s="3">
        <v>2482</v>
      </c>
      <c r="B130" s="3" t="s">
        <v>136</v>
      </c>
      <c r="C130" s="3" t="s">
        <v>4</v>
      </c>
      <c r="D130" s="3" t="s">
        <v>13</v>
      </c>
      <c r="E130" s="3"/>
      <c r="F130" s="3">
        <f>VLOOKUP(A130,[4]fnd_gfm_43298103!$B:$F,5,0)</f>
        <v>2027</v>
      </c>
      <c r="G130" s="3">
        <f t="shared" si="2"/>
        <v>2027</v>
      </c>
      <c r="H130" s="3">
        <f>VLOOKUP(A130,'[2]CUMP Articles'!$A:$H,8,0)</f>
        <v>2070</v>
      </c>
      <c r="I130" s="3">
        <f t="shared" si="3"/>
        <v>4195890</v>
      </c>
      <c r="J130" s="3" t="str">
        <f>VLOOKUP(A130,'[3]Stock actif'!$A:$K,10,0)</f>
        <v>Non</v>
      </c>
      <c r="K130" s="3" t="str">
        <f>VLOOKUP(A130,'[3]Stock actif'!$A:$K,11,0)</f>
        <v>Générique</v>
      </c>
    </row>
    <row r="131" spans="1:11" x14ac:dyDescent="0.35">
      <c r="A131" s="3">
        <v>2484</v>
      </c>
      <c r="B131" s="3" t="s">
        <v>137</v>
      </c>
      <c r="C131" s="3" t="s">
        <v>4</v>
      </c>
      <c r="D131" s="3" t="s">
        <v>13</v>
      </c>
      <c r="E131" s="3"/>
      <c r="F131" s="3">
        <f>VLOOKUP(A131,[4]fnd_gfm_43298103!$B:$F,5,0)</f>
        <v>286</v>
      </c>
      <c r="G131" s="3">
        <f t="shared" ref="G131:G194" si="4">SUM(E131:F131)</f>
        <v>286</v>
      </c>
      <c r="H131" s="3">
        <f>VLOOKUP(A131,'[2]CUMP Articles'!$A:$H,8,0)</f>
        <v>211</v>
      </c>
      <c r="I131" s="3">
        <f t="shared" ref="I131:I194" si="5">H131*G131</f>
        <v>60346</v>
      </c>
      <c r="J131" s="3" t="str">
        <f>VLOOKUP(A131,'[3]Stock actif'!$A:$K,10,0)</f>
        <v>Non</v>
      </c>
      <c r="K131" s="3" t="str">
        <f>VLOOKUP(A131,'[3]Stock actif'!$A:$K,11,0)</f>
        <v>Générique</v>
      </c>
    </row>
    <row r="132" spans="1:11" x14ac:dyDescent="0.35">
      <c r="A132" s="3">
        <v>2488</v>
      </c>
      <c r="B132" s="3" t="s">
        <v>138</v>
      </c>
      <c r="C132" s="3" t="s">
        <v>4</v>
      </c>
      <c r="D132" s="3" t="s">
        <v>13</v>
      </c>
      <c r="E132" s="3">
        <f>VLOOKUP(A132,[1]fnd_gfm_43298102!$B:$F,5,0)</f>
        <v>25</v>
      </c>
      <c r="F132" s="3">
        <f>VLOOKUP(A132,[4]fnd_gfm_43298103!$B:$F,5,0)</f>
        <v>584</v>
      </c>
      <c r="G132" s="3">
        <f t="shared" si="4"/>
        <v>609</v>
      </c>
      <c r="H132" s="3">
        <f>VLOOKUP(A132,'[2]CUMP Articles'!$A:$H,8,0)</f>
        <v>776.84989429175403</v>
      </c>
      <c r="I132" s="3">
        <f t="shared" si="5"/>
        <v>473101.58562367823</v>
      </c>
      <c r="J132" s="3" t="str">
        <f>VLOOKUP(A132,'[3]Stock actif'!$A:$K,10,0)</f>
        <v>Non</v>
      </c>
      <c r="K132" s="3" t="str">
        <f>VLOOKUP(A132,'[3]Stock actif'!$A:$K,11,0)</f>
        <v>Générique</v>
      </c>
    </row>
    <row r="133" spans="1:11" x14ac:dyDescent="0.35">
      <c r="A133" s="3">
        <v>2490</v>
      </c>
      <c r="B133" s="3" t="s">
        <v>139</v>
      </c>
      <c r="C133" s="3" t="s">
        <v>4</v>
      </c>
      <c r="D133" s="3" t="s">
        <v>120</v>
      </c>
      <c r="E133" s="3">
        <f>VLOOKUP(A133,[1]fnd_gfm_43298102!$B:$F,5,0)</f>
        <v>2</v>
      </c>
      <c r="F133" s="3">
        <f>VLOOKUP(A133,[4]fnd_gfm_43298103!$B:$F,5,0)</f>
        <v>11</v>
      </c>
      <c r="G133" s="3">
        <f t="shared" si="4"/>
        <v>13</v>
      </c>
      <c r="H133" s="3">
        <f>VLOOKUP(A133,'[2]CUMP Articles'!$A:$H,8,0)</f>
        <v>16293.971879999999</v>
      </c>
      <c r="I133" s="3">
        <f t="shared" si="5"/>
        <v>211821.63443999999</v>
      </c>
      <c r="J133" s="3" t="str">
        <f>VLOOKUP(A133,'[3]Stock actif'!$A:$K,10,0)</f>
        <v>Oui</v>
      </c>
      <c r="K133" s="3" t="str">
        <f>VLOOKUP(A133,'[3]Stock actif'!$A:$K,11,0)</f>
        <v>Alcatel-Lucent</v>
      </c>
    </row>
    <row r="134" spans="1:11" x14ac:dyDescent="0.35">
      <c r="A134" s="3">
        <v>2495</v>
      </c>
      <c r="B134" s="3" t="s">
        <v>140</v>
      </c>
      <c r="C134" s="3" t="s">
        <v>4</v>
      </c>
      <c r="D134" s="3" t="s">
        <v>120</v>
      </c>
      <c r="E134" s="3">
        <f>VLOOKUP(A134,[1]fnd_gfm_43298102!$B:$F,5,0)</f>
        <v>2</v>
      </c>
      <c r="F134" s="3">
        <f>VLOOKUP(A134,[4]fnd_gfm_43298103!$B:$F,5,0)</f>
        <v>15</v>
      </c>
      <c r="G134" s="3">
        <f t="shared" si="4"/>
        <v>17</v>
      </c>
      <c r="H134" s="3">
        <f>VLOOKUP(A134,'[2]CUMP Articles'!$A:$H,8,0)</f>
        <v>96164.069337412497</v>
      </c>
      <c r="I134" s="3">
        <f t="shared" si="5"/>
        <v>1634789.1787360124</v>
      </c>
      <c r="J134" s="3" t="str">
        <f>VLOOKUP(A134,'[3]Stock actif'!$A:$K,10,0)</f>
        <v>Oui</v>
      </c>
      <c r="K134" s="3" t="str">
        <f>VLOOKUP(A134,'[3]Stock actif'!$A:$K,11,0)</f>
        <v>Alcatel-Lucent</v>
      </c>
    </row>
    <row r="135" spans="1:11" x14ac:dyDescent="0.35">
      <c r="A135" s="3">
        <v>2496</v>
      </c>
      <c r="B135" s="3" t="s">
        <v>527</v>
      </c>
      <c r="C135" s="3" t="s">
        <v>4</v>
      </c>
      <c r="D135" s="3" t="s">
        <v>120</v>
      </c>
      <c r="E135" s="3">
        <f>VLOOKUP(A135,[1]fnd_gfm_43298102!$B:$F,5,0)</f>
        <v>7</v>
      </c>
      <c r="F135" s="3">
        <f>VLOOKUP(A135,[4]fnd_gfm_43298103!$B:$F,5,0)</f>
        <v>9</v>
      </c>
      <c r="G135" s="3">
        <f t="shared" si="4"/>
        <v>16</v>
      </c>
      <c r="H135" s="3">
        <f>VLOOKUP(A135,'[2]CUMP Articles'!$A:$H,8,0)</f>
        <v>137908.39968</v>
      </c>
      <c r="I135" s="3">
        <f t="shared" si="5"/>
        <v>2206534.39488</v>
      </c>
      <c r="J135" s="3" t="str">
        <f>VLOOKUP(A135,'[3]Stock actif'!$A:$K,10,0)</f>
        <v>oui</v>
      </c>
      <c r="K135" s="3" t="str">
        <f>VLOOKUP(A135,'[3]Stock actif'!$A:$K,11,0)</f>
        <v>Alcatel-Lucent</v>
      </c>
    </row>
    <row r="136" spans="1:11" x14ac:dyDescent="0.35">
      <c r="A136" s="3">
        <v>2500</v>
      </c>
      <c r="B136" s="3" t="s">
        <v>141</v>
      </c>
      <c r="C136" s="3" t="s">
        <v>4</v>
      </c>
      <c r="D136" s="3" t="s">
        <v>120</v>
      </c>
      <c r="E136" s="3">
        <f>VLOOKUP(A136,[1]fnd_gfm_43298102!$B:$F,5,0)</f>
        <v>5390</v>
      </c>
      <c r="F136" s="3"/>
      <c r="G136" s="3">
        <f t="shared" si="4"/>
        <v>5390</v>
      </c>
      <c r="H136" s="3">
        <f>VLOOKUP(A136,'[2]CUMP Articles'!$A:$H,8,0)</f>
        <v>25</v>
      </c>
      <c r="I136" s="3">
        <f t="shared" si="5"/>
        <v>134750</v>
      </c>
      <c r="J136" s="3" t="str">
        <f>VLOOKUP(A136,'[3]Stock actif'!$A:$K,10,0)</f>
        <v>non</v>
      </c>
      <c r="K136" s="3" t="str">
        <f>VLOOKUP(A136,'[3]Stock actif'!$A:$K,11,0)</f>
        <v>Legrand</v>
      </c>
    </row>
    <row r="137" spans="1:11" x14ac:dyDescent="0.35">
      <c r="A137" s="3">
        <v>2501</v>
      </c>
      <c r="B137" s="3" t="s">
        <v>142</v>
      </c>
      <c r="C137" s="3" t="s">
        <v>4</v>
      </c>
      <c r="D137" s="3" t="s">
        <v>120</v>
      </c>
      <c r="E137" s="3"/>
      <c r="F137" s="3">
        <f>VLOOKUP(A137,[4]fnd_gfm_43298103!$B:$F,5,0)</f>
        <v>1</v>
      </c>
      <c r="G137" s="3">
        <f t="shared" si="4"/>
        <v>1</v>
      </c>
      <c r="H137" s="3">
        <f>VLOOKUP(A137,'[2]CUMP Articles'!$A:$H,8,0)</f>
        <v>1167106.3721114399</v>
      </c>
      <c r="I137" s="3">
        <f t="shared" si="5"/>
        <v>1167106.3721114399</v>
      </c>
      <c r="J137" s="3" t="str">
        <f>VLOOKUP(A137,'[3]Stock actif'!$A:$K,10,0)</f>
        <v>Oui</v>
      </c>
      <c r="K137" s="3" t="str">
        <f>VLOOKUP(A137,'[3]Stock actif'!$A:$K,11,0)</f>
        <v>Cisco</v>
      </c>
    </row>
    <row r="138" spans="1:11" x14ac:dyDescent="0.35">
      <c r="A138" s="3">
        <v>2508</v>
      </c>
      <c r="B138" s="3" t="s">
        <v>143</v>
      </c>
      <c r="C138" s="3" t="s">
        <v>4</v>
      </c>
      <c r="D138" s="3" t="s">
        <v>120</v>
      </c>
      <c r="E138" s="3">
        <f>VLOOKUP(A138,[1]fnd_gfm_43298102!$B:$F,5,0)</f>
        <v>3</v>
      </c>
      <c r="F138" s="3"/>
      <c r="G138" s="3">
        <f t="shared" si="4"/>
        <v>3</v>
      </c>
      <c r="H138" s="3">
        <f>VLOOKUP(A138,'[2]CUMP Articles'!$A:$H,8,0)</f>
        <v>141230</v>
      </c>
      <c r="I138" s="3">
        <f t="shared" si="5"/>
        <v>423690</v>
      </c>
      <c r="J138" s="3" t="str">
        <f>VLOOKUP(A138,'[3]Stock actif'!$A:$K,10,0)</f>
        <v>Oui</v>
      </c>
      <c r="K138" s="3" t="str">
        <f>VLOOKUP(A138,'[3]Stock actif'!$A:$K,11,0)</f>
        <v>Alcatel-Lucent</v>
      </c>
    </row>
    <row r="139" spans="1:11" x14ac:dyDescent="0.35">
      <c r="A139" s="3">
        <v>2511</v>
      </c>
      <c r="B139" s="3" t="s">
        <v>144</v>
      </c>
      <c r="C139" s="3" t="s">
        <v>4</v>
      </c>
      <c r="D139" s="3" t="s">
        <v>120</v>
      </c>
      <c r="E139" s="3">
        <f>VLOOKUP(A139,[1]fnd_gfm_43298102!$B:$F,5,0)</f>
        <v>2</v>
      </c>
      <c r="F139" s="3"/>
      <c r="G139" s="3">
        <f t="shared" si="4"/>
        <v>2</v>
      </c>
      <c r="H139" s="3">
        <f>VLOOKUP(A139,'[2]CUMP Articles'!$A:$H,8,0)</f>
        <v>331304</v>
      </c>
      <c r="I139" s="3">
        <f t="shared" si="5"/>
        <v>662608</v>
      </c>
      <c r="J139" s="3" t="str">
        <f>VLOOKUP(A139,'[3]Stock actif'!$A:$K,10,0)</f>
        <v>Oui</v>
      </c>
      <c r="K139" s="3" t="str">
        <f>VLOOKUP(A139,'[3]Stock actif'!$A:$K,11,0)</f>
        <v>Alcatel-Lucent</v>
      </c>
    </row>
    <row r="140" spans="1:11" x14ac:dyDescent="0.35">
      <c r="A140" s="3">
        <v>2514</v>
      </c>
      <c r="B140" s="3" t="s">
        <v>145</v>
      </c>
      <c r="C140" s="3" t="s">
        <v>4</v>
      </c>
      <c r="D140" s="3" t="s">
        <v>120</v>
      </c>
      <c r="E140" s="3"/>
      <c r="F140" s="3">
        <f>VLOOKUP(A140,[4]fnd_gfm_43298103!$B:$F,5,0)</f>
        <v>1</v>
      </c>
      <c r="G140" s="3">
        <f t="shared" si="4"/>
        <v>1</v>
      </c>
      <c r="H140" s="3">
        <f>VLOOKUP(A140,'[2]CUMP Articles'!$A:$H,8,0)</f>
        <v>5678</v>
      </c>
      <c r="I140" s="3">
        <f t="shared" si="5"/>
        <v>5678</v>
      </c>
      <c r="J140" s="3" t="str">
        <f>VLOOKUP(A140,'[3]Stock actif'!$A:$K,10,0)</f>
        <v>Oui</v>
      </c>
      <c r="K140" s="3" t="str">
        <f>VLOOKUP(A140,'[3]Stock actif'!$A:$K,11,0)</f>
        <v>Nexans</v>
      </c>
    </row>
    <row r="141" spans="1:11" x14ac:dyDescent="0.35">
      <c r="A141" s="3">
        <v>2516</v>
      </c>
      <c r="B141" s="3" t="s">
        <v>146</v>
      </c>
      <c r="C141" s="3" t="s">
        <v>4</v>
      </c>
      <c r="D141" s="3" t="s">
        <v>120</v>
      </c>
      <c r="E141" s="3"/>
      <c r="F141" s="3">
        <f>VLOOKUP(A141,[4]fnd_gfm_43298103!$B:$F,5,0)</f>
        <v>4</v>
      </c>
      <c r="G141" s="3">
        <f t="shared" si="4"/>
        <v>4</v>
      </c>
      <c r="H141" s="3">
        <f>VLOOKUP(A141,'[2]CUMP Articles'!$A:$H,8,0)</f>
        <v>100362</v>
      </c>
      <c r="I141" s="3">
        <f t="shared" si="5"/>
        <v>401448</v>
      </c>
      <c r="J141" s="3" t="str">
        <f>VLOOKUP(A141,'[3]Stock actif'!$A:$K,10,0)</f>
        <v>Oui</v>
      </c>
      <c r="K141" s="3" t="str">
        <f>VLOOKUP(A141,'[3]Stock actif'!$A:$K,11,0)</f>
        <v>Alcatel-Lucent</v>
      </c>
    </row>
    <row r="142" spans="1:11" x14ac:dyDescent="0.35">
      <c r="A142" s="3">
        <v>2518</v>
      </c>
      <c r="B142" s="3" t="s">
        <v>147</v>
      </c>
      <c r="C142" s="3" t="s">
        <v>4</v>
      </c>
      <c r="D142" s="3" t="s">
        <v>120</v>
      </c>
      <c r="E142" s="3"/>
      <c r="F142" s="3">
        <f>VLOOKUP(A142,[4]fnd_gfm_43298103!$B:$F,5,0)</f>
        <v>20</v>
      </c>
      <c r="G142" s="3">
        <f t="shared" si="4"/>
        <v>20</v>
      </c>
      <c r="H142" s="3">
        <f>VLOOKUP(A142,'[2]CUMP Articles'!$A:$H,8,0)</f>
        <v>201131.97079545399</v>
      </c>
      <c r="I142" s="3">
        <f t="shared" si="5"/>
        <v>4022639.4159090798</v>
      </c>
      <c r="J142" s="3" t="str">
        <f>VLOOKUP(A142,'[3]Stock actif'!$A:$K,10,0)</f>
        <v>Oui</v>
      </c>
      <c r="K142" s="3" t="str">
        <f>VLOOKUP(A142,'[3]Stock actif'!$A:$K,11,0)</f>
        <v>Alcatel-Lucent</v>
      </c>
    </row>
    <row r="143" spans="1:11" x14ac:dyDescent="0.35">
      <c r="A143" s="3">
        <v>2522</v>
      </c>
      <c r="B143" s="3" t="s">
        <v>148</v>
      </c>
      <c r="C143" s="3" t="s">
        <v>4</v>
      </c>
      <c r="D143" s="3" t="s">
        <v>120</v>
      </c>
      <c r="E143" s="3"/>
      <c r="F143" s="3">
        <f>VLOOKUP(A143,[4]fnd_gfm_43298103!$B:$F,5,0)</f>
        <v>8</v>
      </c>
      <c r="G143" s="3">
        <f t="shared" si="4"/>
        <v>8</v>
      </c>
      <c r="H143" s="3">
        <f>VLOOKUP(A143,'[2]CUMP Articles'!$A:$H,8,0)</f>
        <v>963517</v>
      </c>
      <c r="I143" s="3">
        <f t="shared" si="5"/>
        <v>7708136</v>
      </c>
      <c r="J143" s="3" t="str">
        <f>VLOOKUP(A143,'[3]Stock actif'!$A:$K,10,0)</f>
        <v>Oui</v>
      </c>
      <c r="K143" s="3" t="str">
        <f>VLOOKUP(A143,'[3]Stock actif'!$A:$K,11,0)</f>
        <v>Alcatel-Lucent</v>
      </c>
    </row>
    <row r="144" spans="1:11" x14ac:dyDescent="0.35">
      <c r="A144" s="3">
        <v>2526</v>
      </c>
      <c r="B144" s="3" t="s">
        <v>149</v>
      </c>
      <c r="C144" s="3" t="s">
        <v>4</v>
      </c>
      <c r="D144" s="3" t="s">
        <v>120</v>
      </c>
      <c r="E144" s="3"/>
      <c r="F144" s="3">
        <f>VLOOKUP(A144,[4]fnd_gfm_43298103!$B:$F,5,0)</f>
        <v>2</v>
      </c>
      <c r="G144" s="3">
        <f t="shared" si="4"/>
        <v>2</v>
      </c>
      <c r="H144" s="3">
        <f>VLOOKUP(A144,'[2]CUMP Articles'!$A:$H,8,0)</f>
        <v>44605</v>
      </c>
      <c r="I144" s="3">
        <f t="shared" si="5"/>
        <v>89210</v>
      </c>
      <c r="J144" s="3" t="str">
        <f>VLOOKUP(A144,'[3]Stock actif'!$A:$K,10,0)</f>
        <v>Oui</v>
      </c>
      <c r="K144" s="3" t="str">
        <f>VLOOKUP(A144,'[3]Stock actif'!$A:$K,11,0)</f>
        <v>Alcatel-Lucent</v>
      </c>
    </row>
    <row r="145" spans="1:11" x14ac:dyDescent="0.35">
      <c r="A145" s="3">
        <v>2527</v>
      </c>
      <c r="B145" s="3" t="s">
        <v>150</v>
      </c>
      <c r="C145" s="3" t="s">
        <v>4</v>
      </c>
      <c r="D145" s="3" t="s">
        <v>120</v>
      </c>
      <c r="E145" s="3"/>
      <c r="F145" s="3">
        <f>VLOOKUP(A145,[4]fnd_gfm_43298103!$B:$F,5,0)</f>
        <v>45</v>
      </c>
      <c r="G145" s="3">
        <f t="shared" si="4"/>
        <v>45</v>
      </c>
      <c r="H145" s="3">
        <f>VLOOKUP(A145,'[2]CUMP Articles'!$A:$H,8,0)</f>
        <v>17474.694479999998</v>
      </c>
      <c r="I145" s="3">
        <f t="shared" si="5"/>
        <v>786361.25159999996</v>
      </c>
      <c r="J145" s="3" t="str">
        <f>VLOOKUP(A145,'[3]Stock actif'!$A:$K,10,0)</f>
        <v>Oui</v>
      </c>
      <c r="K145" s="3" t="str">
        <f>VLOOKUP(A145,'[3]Stock actif'!$A:$K,11,0)</f>
        <v>Alcatel-Lucent</v>
      </c>
    </row>
    <row r="146" spans="1:11" x14ac:dyDescent="0.35">
      <c r="A146" s="3">
        <v>2533</v>
      </c>
      <c r="B146" s="3" t="s">
        <v>151</v>
      </c>
      <c r="C146" s="3" t="s">
        <v>4</v>
      </c>
      <c r="D146" s="3" t="s">
        <v>120</v>
      </c>
      <c r="E146" s="3">
        <f>VLOOKUP(A146,[1]fnd_gfm_43298102!$B:$F,5,0)</f>
        <v>938</v>
      </c>
      <c r="F146" s="3"/>
      <c r="G146" s="3">
        <f t="shared" si="4"/>
        <v>938</v>
      </c>
      <c r="H146" s="3">
        <f>VLOOKUP(A146,'[2]CUMP Articles'!$A:$H,8,0)</f>
        <v>99</v>
      </c>
      <c r="I146" s="3">
        <f t="shared" si="5"/>
        <v>92862</v>
      </c>
      <c r="J146" s="3" t="str">
        <f>VLOOKUP(A146,'[3]Stock actif'!$A:$K,10,0)</f>
        <v>NON</v>
      </c>
      <c r="K146" s="3" t="str">
        <f>VLOOKUP(A146,'[3]Stock actif'!$A:$K,11,0)</f>
        <v>Générique</v>
      </c>
    </row>
    <row r="147" spans="1:11" x14ac:dyDescent="0.35">
      <c r="A147" s="3">
        <v>2537</v>
      </c>
      <c r="B147" s="3" t="s">
        <v>152</v>
      </c>
      <c r="C147" s="3" t="s">
        <v>4</v>
      </c>
      <c r="D147" s="3" t="s">
        <v>120</v>
      </c>
      <c r="E147" s="3"/>
      <c r="F147" s="3">
        <f>VLOOKUP(A147,[4]fnd_gfm_43298103!$B:$F,5,0)</f>
        <v>3</v>
      </c>
      <c r="G147" s="3">
        <f t="shared" si="4"/>
        <v>3</v>
      </c>
      <c r="H147" s="3">
        <f>VLOOKUP(A147,'[2]CUMP Articles'!$A:$H,8,0)</f>
        <v>1621</v>
      </c>
      <c r="I147" s="3">
        <f t="shared" si="5"/>
        <v>4863</v>
      </c>
      <c r="J147" s="3" t="str">
        <f>VLOOKUP(A147,'[3]Stock actif'!$A:$K,10,0)</f>
        <v>Non</v>
      </c>
      <c r="K147" s="3" t="str">
        <f>VLOOKUP(A147,'[3]Stock actif'!$A:$K,11,0)</f>
        <v>Générique</v>
      </c>
    </row>
    <row r="148" spans="1:11" x14ac:dyDescent="0.35">
      <c r="A148" s="3">
        <v>2538</v>
      </c>
      <c r="B148" s="3" t="s">
        <v>153</v>
      </c>
      <c r="C148" s="3" t="s">
        <v>4</v>
      </c>
      <c r="D148" s="3" t="s">
        <v>120</v>
      </c>
      <c r="E148" s="3"/>
      <c r="F148" s="3">
        <f>VLOOKUP(A148,[4]fnd_gfm_43298103!$B:$F,5,0)</f>
        <v>50</v>
      </c>
      <c r="G148" s="3">
        <f t="shared" si="4"/>
        <v>50</v>
      </c>
      <c r="H148" s="3">
        <f>VLOOKUP(A148,'[2]CUMP Articles'!$A:$H,8,0)</f>
        <v>300</v>
      </c>
      <c r="I148" s="3">
        <f t="shared" si="5"/>
        <v>15000</v>
      </c>
      <c r="J148" s="3" t="str">
        <f>VLOOKUP(A148,'[3]Stock actif'!$A:$K,10,0)</f>
        <v>Non</v>
      </c>
      <c r="K148" s="3" t="str">
        <f>VLOOKUP(A148,'[3]Stock actif'!$A:$K,11,0)</f>
        <v>Générique</v>
      </c>
    </row>
    <row r="149" spans="1:11" x14ac:dyDescent="0.35">
      <c r="A149" s="3">
        <v>2539</v>
      </c>
      <c r="B149" s="3" t="s">
        <v>154</v>
      </c>
      <c r="C149" s="3" t="s">
        <v>4</v>
      </c>
      <c r="D149" s="3" t="s">
        <v>120</v>
      </c>
      <c r="E149" s="3">
        <f>VLOOKUP(A149,[1]fnd_gfm_43298102!$B:$F,5,0)</f>
        <v>1</v>
      </c>
      <c r="F149" s="3">
        <f>VLOOKUP(A149,[4]fnd_gfm_43298103!$B:$F,5,0)</f>
        <v>5</v>
      </c>
      <c r="G149" s="3">
        <f t="shared" si="4"/>
        <v>6</v>
      </c>
      <c r="H149" s="3">
        <f>VLOOKUP(A149,'[2]CUMP Articles'!$A:$H,8,0)</f>
        <v>216751.13658848201</v>
      </c>
      <c r="I149" s="3">
        <f t="shared" si="5"/>
        <v>1300506.8195308922</v>
      </c>
      <c r="J149" s="3" t="str">
        <f>VLOOKUP(A149,'[3]Stock actif'!$A:$K,10,0)</f>
        <v>Oui</v>
      </c>
      <c r="K149" s="3" t="str">
        <f>VLOOKUP(A149,'[3]Stock actif'!$A:$K,11,0)</f>
        <v>Alcatel-Lucent</v>
      </c>
    </row>
    <row r="150" spans="1:11" x14ac:dyDescent="0.35">
      <c r="A150" s="3">
        <v>2540</v>
      </c>
      <c r="B150" s="3" t="s">
        <v>155</v>
      </c>
      <c r="C150" s="3" t="s">
        <v>4</v>
      </c>
      <c r="D150" s="3" t="s">
        <v>120</v>
      </c>
      <c r="E150" s="3"/>
      <c r="F150" s="3">
        <f>VLOOKUP(A150,[4]fnd_gfm_43298103!$B:$F,5,0)</f>
        <v>2</v>
      </c>
      <c r="G150" s="3">
        <f t="shared" si="4"/>
        <v>2</v>
      </c>
      <c r="H150" s="3">
        <f>VLOOKUP(A150,'[2]CUMP Articles'!$A:$H,8,0)</f>
        <v>8542</v>
      </c>
      <c r="I150" s="3">
        <f t="shared" si="5"/>
        <v>17084</v>
      </c>
      <c r="J150" s="3" t="str">
        <f>VLOOKUP(A150,'[3]Stock actif'!$A:$K,10,0)</f>
        <v>Oui</v>
      </c>
      <c r="K150" s="3" t="str">
        <f>VLOOKUP(A150,'[3]Stock actif'!$A:$K,11,0)</f>
        <v>Alcatel-Lucent</v>
      </c>
    </row>
    <row r="151" spans="1:11" x14ac:dyDescent="0.35">
      <c r="A151" s="3">
        <v>2541</v>
      </c>
      <c r="B151" s="3" t="s">
        <v>156</v>
      </c>
      <c r="C151" s="3" t="s">
        <v>4</v>
      </c>
      <c r="D151" s="3" t="s">
        <v>120</v>
      </c>
      <c r="E151" s="3">
        <f>VLOOKUP(A151,[1]fnd_gfm_43298102!$B:$F,5,0)</f>
        <v>2100</v>
      </c>
      <c r="F151" s="3"/>
      <c r="G151" s="3">
        <f t="shared" si="4"/>
        <v>2100</v>
      </c>
      <c r="H151" s="3">
        <f>VLOOKUP(A151,'[2]CUMP Articles'!$A:$H,8,0)</f>
        <v>25.36</v>
      </c>
      <c r="I151" s="3">
        <f t="shared" si="5"/>
        <v>53256</v>
      </c>
      <c r="J151" s="3" t="str">
        <f>VLOOKUP(A151,'[3]Stock actif'!$A:$K,10,0)</f>
        <v>Non</v>
      </c>
      <c r="K151" s="3" t="str">
        <f>VLOOKUP(A151,'[3]Stock actif'!$A:$K,11,0)</f>
        <v>Générique</v>
      </c>
    </row>
    <row r="152" spans="1:11" x14ac:dyDescent="0.35">
      <c r="A152" s="3">
        <v>2542</v>
      </c>
      <c r="B152" s="3" t="s">
        <v>157</v>
      </c>
      <c r="C152" s="3" t="s">
        <v>4</v>
      </c>
      <c r="D152" s="3" t="s">
        <v>120</v>
      </c>
      <c r="E152" s="3">
        <f>VLOOKUP(A152,[1]fnd_gfm_43298102!$B:$F,5,0)</f>
        <v>2</v>
      </c>
      <c r="F152" s="3">
        <f>VLOOKUP(A152,[4]fnd_gfm_43298103!$B:$F,5,0)</f>
        <v>1</v>
      </c>
      <c r="G152" s="3">
        <f t="shared" si="4"/>
        <v>3</v>
      </c>
      <c r="H152" s="3">
        <f>VLOOKUP(A152,'[2]CUMP Articles'!$A:$H,8,0)</f>
        <v>175169</v>
      </c>
      <c r="I152" s="3">
        <f t="shared" si="5"/>
        <v>525507</v>
      </c>
      <c r="J152" s="3" t="str">
        <f>VLOOKUP(A152,'[3]Stock actif'!$A:$K,10,0)</f>
        <v>Oui</v>
      </c>
      <c r="K152" s="3" t="str">
        <f>VLOOKUP(A152,'[3]Stock actif'!$A:$K,11,0)</f>
        <v>Alcatel-Lucent</v>
      </c>
    </row>
    <row r="153" spans="1:11" x14ac:dyDescent="0.35">
      <c r="A153" s="3">
        <v>2543</v>
      </c>
      <c r="B153" s="3" t="s">
        <v>158</v>
      </c>
      <c r="C153" s="3" t="s">
        <v>4</v>
      </c>
      <c r="D153" s="3" t="s">
        <v>120</v>
      </c>
      <c r="E153" s="3"/>
      <c r="F153" s="3">
        <f>VLOOKUP(A153,[4]fnd_gfm_43298103!$B:$F,5,0)</f>
        <v>2</v>
      </c>
      <c r="G153" s="3">
        <f t="shared" si="4"/>
        <v>2</v>
      </c>
      <c r="H153" s="3">
        <f>VLOOKUP(A153,'[2]CUMP Articles'!$A:$H,8,0)</f>
        <v>39817</v>
      </c>
      <c r="I153" s="3">
        <f t="shared" si="5"/>
        <v>79634</v>
      </c>
      <c r="J153" s="3" t="str">
        <f>VLOOKUP(A153,'[3]Stock actif'!$A:$K,10,0)</f>
        <v>Oui</v>
      </c>
      <c r="K153" s="3" t="str">
        <f>VLOOKUP(A153,'[3]Stock actif'!$A:$K,11,0)</f>
        <v>Générique</v>
      </c>
    </row>
    <row r="154" spans="1:11" x14ac:dyDescent="0.35">
      <c r="A154" s="3">
        <v>2547</v>
      </c>
      <c r="B154" s="3" t="s">
        <v>159</v>
      </c>
      <c r="C154" s="3" t="s">
        <v>4</v>
      </c>
      <c r="D154" s="3" t="s">
        <v>120</v>
      </c>
      <c r="E154" s="3"/>
      <c r="F154" s="3">
        <f>VLOOKUP(A154,[4]fnd_gfm_43298103!$B:$F,5,0)</f>
        <v>14</v>
      </c>
      <c r="G154" s="3">
        <f t="shared" si="4"/>
        <v>14</v>
      </c>
      <c r="H154" s="3">
        <f>VLOOKUP(A154,'[2]CUMP Articles'!$A:$H,8,0)</f>
        <v>7084</v>
      </c>
      <c r="I154" s="3">
        <f t="shared" si="5"/>
        <v>99176</v>
      </c>
      <c r="J154" s="3" t="str">
        <f>VLOOKUP(A154,'[3]Stock actif'!$A:$K,10,0)</f>
        <v>Oui</v>
      </c>
      <c r="K154" s="3" t="str">
        <f>VLOOKUP(A154,'[3]Stock actif'!$A:$K,11,0)</f>
        <v>Alcatel-Lucent</v>
      </c>
    </row>
    <row r="155" spans="1:11" x14ac:dyDescent="0.35">
      <c r="A155" s="3">
        <v>2549</v>
      </c>
      <c r="B155" s="3" t="s">
        <v>160</v>
      </c>
      <c r="C155" s="3" t="s">
        <v>4</v>
      </c>
      <c r="D155" s="3" t="s">
        <v>120</v>
      </c>
      <c r="E155" s="3"/>
      <c r="F155" s="3">
        <f>VLOOKUP(A155,[4]fnd_gfm_43298103!$B:$F,5,0)</f>
        <v>128</v>
      </c>
      <c r="G155" s="3">
        <f t="shared" si="4"/>
        <v>128</v>
      </c>
      <c r="H155" s="3">
        <f>VLOOKUP(A155,'[2]CUMP Articles'!$A:$H,8,0)</f>
        <v>353</v>
      </c>
      <c r="I155" s="3">
        <f t="shared" si="5"/>
        <v>45184</v>
      </c>
      <c r="J155" s="3" t="str">
        <f>VLOOKUP(A155,'[3]Stock actif'!$A:$K,10,0)</f>
        <v>Non</v>
      </c>
      <c r="K155" s="3" t="str">
        <f>VLOOKUP(A155,'[3]Stock actif'!$A:$K,11,0)</f>
        <v>Générique</v>
      </c>
    </row>
    <row r="156" spans="1:11" x14ac:dyDescent="0.35">
      <c r="A156" s="3">
        <v>2553</v>
      </c>
      <c r="B156" s="3" t="s">
        <v>161</v>
      </c>
      <c r="C156" s="3" t="s">
        <v>4</v>
      </c>
      <c r="D156" s="3" t="s">
        <v>120</v>
      </c>
      <c r="E156" s="3"/>
      <c r="F156" s="3">
        <f>VLOOKUP(A156,[4]fnd_gfm_43298103!$B:$F,5,0)</f>
        <v>8</v>
      </c>
      <c r="G156" s="3">
        <f t="shared" si="4"/>
        <v>8</v>
      </c>
      <c r="H156" s="3">
        <f>VLOOKUP(A156,'[2]CUMP Articles'!$A:$H,8,0)</f>
        <v>19554.078170000001</v>
      </c>
      <c r="I156" s="3">
        <f t="shared" si="5"/>
        <v>156432.62536000001</v>
      </c>
      <c r="J156" s="3" t="str">
        <f>VLOOKUP(A156,'[3]Stock actif'!$A:$K,10,0)</f>
        <v>Oui</v>
      </c>
      <c r="K156" s="3" t="str">
        <f>VLOOKUP(A156,'[3]Stock actif'!$A:$K,11,0)</f>
        <v>Alcatel-Lucent</v>
      </c>
    </row>
    <row r="157" spans="1:11" x14ac:dyDescent="0.35">
      <c r="A157" s="3">
        <v>2555</v>
      </c>
      <c r="B157" s="3" t="s">
        <v>162</v>
      </c>
      <c r="C157" s="3" t="s">
        <v>4</v>
      </c>
      <c r="D157" s="3" t="s">
        <v>120</v>
      </c>
      <c r="E157" s="3"/>
      <c r="F157" s="3">
        <f>VLOOKUP(A157,[4]fnd_gfm_43298103!$B:$F,5,0)</f>
        <v>9</v>
      </c>
      <c r="G157" s="3">
        <f t="shared" si="4"/>
        <v>9</v>
      </c>
      <c r="H157" s="3">
        <f>VLOOKUP(A157,'[2]CUMP Articles'!$A:$H,8,0)</f>
        <v>5023</v>
      </c>
      <c r="I157" s="3">
        <f t="shared" si="5"/>
        <v>45207</v>
      </c>
      <c r="J157" s="3" t="str">
        <f>VLOOKUP(A157,'[3]Stock actif'!$A:$K,10,0)</f>
        <v>Oui</v>
      </c>
      <c r="K157" s="3" t="str">
        <f>VLOOKUP(A157,'[3]Stock actif'!$A:$K,11,0)</f>
        <v>Cisco</v>
      </c>
    </row>
    <row r="158" spans="1:11" x14ac:dyDescent="0.35">
      <c r="A158" s="3">
        <v>2560</v>
      </c>
      <c r="B158" s="3" t="s">
        <v>163</v>
      </c>
      <c r="C158" s="3" t="s">
        <v>4</v>
      </c>
      <c r="D158" s="3" t="s">
        <v>120</v>
      </c>
      <c r="E158" s="3">
        <f>VLOOKUP(A158,[1]fnd_gfm_43298102!$B:$F,5,0)</f>
        <v>64</v>
      </c>
      <c r="F158" s="3">
        <f>VLOOKUP(A158,[4]fnd_gfm_43298103!$B:$F,5,0)</f>
        <v>260</v>
      </c>
      <c r="G158" s="3">
        <f t="shared" si="4"/>
        <v>324</v>
      </c>
      <c r="H158" s="3">
        <f>VLOOKUP(A158,'[2]CUMP Articles'!$A:$H,8,0)</f>
        <v>1500</v>
      </c>
      <c r="I158" s="3">
        <f t="shared" si="5"/>
        <v>486000</v>
      </c>
      <c r="J158" s="3" t="str">
        <f>VLOOKUP(A158,'[3]Stock actif'!$A:$K,10,0)</f>
        <v>Non</v>
      </c>
      <c r="K158" s="3" t="str">
        <f>VLOOKUP(A158,'[3]Stock actif'!$A:$K,11,0)</f>
        <v>Générique</v>
      </c>
    </row>
    <row r="159" spans="1:11" x14ac:dyDescent="0.35">
      <c r="A159" s="3">
        <v>2562</v>
      </c>
      <c r="B159" s="3" t="s">
        <v>164</v>
      </c>
      <c r="C159" s="3" t="s">
        <v>4</v>
      </c>
      <c r="D159" s="3" t="s">
        <v>120</v>
      </c>
      <c r="E159" s="3">
        <f>VLOOKUP(A159,[1]fnd_gfm_43298102!$B:$F,5,0)</f>
        <v>2</v>
      </c>
      <c r="F159" s="3">
        <f>VLOOKUP(A159,[4]fnd_gfm_43298103!$B:$F,5,0)</f>
        <v>23</v>
      </c>
      <c r="G159" s="3">
        <f t="shared" si="4"/>
        <v>25</v>
      </c>
      <c r="H159" s="3">
        <f>VLOOKUP(A159,'[2]CUMP Articles'!$A:$H,8,0)</f>
        <v>100773.443990625</v>
      </c>
      <c r="I159" s="3">
        <f t="shared" si="5"/>
        <v>2519336.0997656253</v>
      </c>
      <c r="J159" s="3" t="str">
        <f>VLOOKUP(A159,'[3]Stock actif'!$A:$K,10,0)</f>
        <v>Oui</v>
      </c>
      <c r="K159" s="3" t="str">
        <f>VLOOKUP(A159,'[3]Stock actif'!$A:$K,11,0)</f>
        <v>Alcatel-Lucent</v>
      </c>
    </row>
    <row r="160" spans="1:11" x14ac:dyDescent="0.35">
      <c r="A160" s="3">
        <v>2564</v>
      </c>
      <c r="B160" s="3" t="s">
        <v>165</v>
      </c>
      <c r="C160" s="3" t="s">
        <v>4</v>
      </c>
      <c r="D160" s="3" t="s">
        <v>120</v>
      </c>
      <c r="E160" s="3"/>
      <c r="F160" s="3">
        <f>VLOOKUP(A160,[4]fnd_gfm_43298103!$B:$F,5,0)</f>
        <v>12</v>
      </c>
      <c r="G160" s="3">
        <f t="shared" si="4"/>
        <v>12</v>
      </c>
      <c r="H160" s="3">
        <f>VLOOKUP(A160,'[2]CUMP Articles'!$A:$H,8,0)</f>
        <v>85267</v>
      </c>
      <c r="I160" s="3">
        <f t="shared" si="5"/>
        <v>1023204</v>
      </c>
      <c r="J160" s="3" t="str">
        <f>VLOOKUP(A160,'[3]Stock actif'!$A:$K,10,0)</f>
        <v>Oui</v>
      </c>
      <c r="K160" s="3" t="str">
        <f>VLOOKUP(A160,'[3]Stock actif'!$A:$K,11,0)</f>
        <v>Cisco</v>
      </c>
    </row>
    <row r="161" spans="1:11" x14ac:dyDescent="0.35">
      <c r="A161" s="3">
        <v>2565</v>
      </c>
      <c r="B161" s="3" t="s">
        <v>166</v>
      </c>
      <c r="C161" s="3" t="s">
        <v>4</v>
      </c>
      <c r="D161" s="3" t="s">
        <v>120</v>
      </c>
      <c r="E161" s="3">
        <f>VLOOKUP(A161,[1]fnd_gfm_43298102!$B:$F,5,0)</f>
        <v>341</v>
      </c>
      <c r="F161" s="3"/>
      <c r="G161" s="3">
        <f t="shared" si="4"/>
        <v>341</v>
      </c>
      <c r="H161" s="3">
        <f>VLOOKUP(A161,'[2]CUMP Articles'!$A:$H,8,0)</f>
        <v>150.216872344937</v>
      </c>
      <c r="I161" s="3">
        <f t="shared" si="5"/>
        <v>51223.953469623521</v>
      </c>
      <c r="J161" s="3" t="str">
        <f>VLOOKUP(A161,'[3]Stock actif'!$A:$K,10,0)</f>
        <v>Non</v>
      </c>
      <c r="K161" s="3" t="str">
        <f>VLOOKUP(A161,'[3]Stock actif'!$A:$K,11,0)</f>
        <v>Local</v>
      </c>
    </row>
    <row r="162" spans="1:11" x14ac:dyDescent="0.35">
      <c r="A162" s="3">
        <v>2569</v>
      </c>
      <c r="B162" s="3" t="s">
        <v>167</v>
      </c>
      <c r="C162" s="3" t="s">
        <v>4</v>
      </c>
      <c r="D162" s="3" t="s">
        <v>120</v>
      </c>
      <c r="E162" s="3">
        <f>VLOOKUP(A162,[1]fnd_gfm_43298102!$B:$F,5,0)</f>
        <v>13</v>
      </c>
      <c r="F162" s="3">
        <f>VLOOKUP(A162,[4]fnd_gfm_43298103!$B:$F,5,0)</f>
        <v>35</v>
      </c>
      <c r="G162" s="3">
        <f t="shared" si="4"/>
        <v>48</v>
      </c>
      <c r="H162" s="3">
        <f>VLOOKUP(A162,'[2]CUMP Articles'!$A:$H,8,0)</f>
        <v>9887.1159129460502</v>
      </c>
      <c r="I162" s="3">
        <f t="shared" si="5"/>
        <v>474581.56382141041</v>
      </c>
      <c r="J162" s="3" t="str">
        <f>VLOOKUP(A162,'[3]Stock actif'!$A:$K,10,0)</f>
        <v>Oui</v>
      </c>
      <c r="K162" s="3" t="str">
        <f>VLOOKUP(A162,'[3]Stock actif'!$A:$K,11,0)</f>
        <v>Alcatel-Lucent</v>
      </c>
    </row>
    <row r="163" spans="1:11" x14ac:dyDescent="0.35">
      <c r="A163" s="3">
        <v>2570</v>
      </c>
      <c r="B163" s="3" t="s">
        <v>168</v>
      </c>
      <c r="C163" s="3" t="s">
        <v>4</v>
      </c>
      <c r="D163" s="3" t="s">
        <v>120</v>
      </c>
      <c r="E163" s="3">
        <f>VLOOKUP(A163,[1]fnd_gfm_43298102!$B:$F,5,0)</f>
        <v>5</v>
      </c>
      <c r="F163" s="3">
        <f>VLOOKUP(A163,[4]fnd_gfm_43298103!$B:$F,5,0)</f>
        <v>27</v>
      </c>
      <c r="G163" s="3">
        <f t="shared" si="4"/>
        <v>32</v>
      </c>
      <c r="H163" s="3">
        <f>VLOOKUP(A163,'[2]CUMP Articles'!$A:$H,8,0)</f>
        <v>65964.335811871002</v>
      </c>
      <c r="I163" s="3">
        <f t="shared" si="5"/>
        <v>2110858.7459798721</v>
      </c>
      <c r="J163" s="3" t="str">
        <f>VLOOKUP(A163,'[3]Stock actif'!$A:$K,10,0)</f>
        <v>Oui</v>
      </c>
      <c r="K163" s="3" t="str">
        <f>VLOOKUP(A163,'[3]Stock actif'!$A:$K,11,0)</f>
        <v>Alcatel-Lucent</v>
      </c>
    </row>
    <row r="164" spans="1:11" x14ac:dyDescent="0.35">
      <c r="A164" s="3">
        <v>2571</v>
      </c>
      <c r="B164" s="3" t="s">
        <v>169</v>
      </c>
      <c r="C164" s="3" t="s">
        <v>4</v>
      </c>
      <c r="D164" s="3" t="s">
        <v>120</v>
      </c>
      <c r="E164" s="3"/>
      <c r="F164" s="3">
        <f>VLOOKUP(A164,[4]fnd_gfm_43298103!$B:$F,5,0)</f>
        <v>5</v>
      </c>
      <c r="G164" s="3">
        <f t="shared" si="4"/>
        <v>5</v>
      </c>
      <c r="H164" s="3">
        <f>VLOOKUP(A164,'[2]CUMP Articles'!$A:$H,8,0)</f>
        <v>26970.1180257575</v>
      </c>
      <c r="I164" s="3">
        <f t="shared" si="5"/>
        <v>134850.5901287875</v>
      </c>
      <c r="J164" s="3" t="str">
        <f>VLOOKUP(A164,'[3]Stock actif'!$A:$K,10,0)</f>
        <v>Oui</v>
      </c>
      <c r="K164" s="3" t="str">
        <f>VLOOKUP(A164,'[3]Stock actif'!$A:$K,11,0)</f>
        <v>Alcatel-Lucent</v>
      </c>
    </row>
    <row r="165" spans="1:11" x14ac:dyDescent="0.35">
      <c r="A165" s="3">
        <v>2572</v>
      </c>
      <c r="B165" s="3" t="s">
        <v>170</v>
      </c>
      <c r="C165" s="3" t="s">
        <v>4</v>
      </c>
      <c r="D165" s="3" t="s">
        <v>120</v>
      </c>
      <c r="E165" s="3">
        <f>VLOOKUP(A165,[1]fnd_gfm_43298102!$B:$F,5,0)</f>
        <v>3</v>
      </c>
      <c r="F165" s="3">
        <f>VLOOKUP(A165,[4]fnd_gfm_43298103!$B:$F,5,0)</f>
        <v>28</v>
      </c>
      <c r="G165" s="3">
        <f t="shared" si="4"/>
        <v>31</v>
      </c>
      <c r="H165" s="3">
        <f>VLOOKUP(A165,'[2]CUMP Articles'!$A:$H,8,0)</f>
        <v>22669.193749999999</v>
      </c>
      <c r="I165" s="3">
        <f t="shared" si="5"/>
        <v>702745.00624999998</v>
      </c>
      <c r="J165" s="3" t="str">
        <f>VLOOKUP(A165,'[3]Stock actif'!$A:$K,10,0)</f>
        <v>Oui</v>
      </c>
      <c r="K165" s="3" t="str">
        <f>VLOOKUP(A165,'[3]Stock actif'!$A:$K,11,0)</f>
        <v>Alcatel-Lucent</v>
      </c>
    </row>
    <row r="166" spans="1:11" x14ac:dyDescent="0.35">
      <c r="A166" s="3">
        <v>2576</v>
      </c>
      <c r="B166" s="3" t="s">
        <v>171</v>
      </c>
      <c r="C166" s="3" t="s">
        <v>4</v>
      </c>
      <c r="D166" s="3" t="s">
        <v>120</v>
      </c>
      <c r="E166" s="3">
        <f>VLOOKUP(A166,[1]fnd_gfm_43298102!$B:$F,5,0)</f>
        <v>1</v>
      </c>
      <c r="F166" s="3">
        <f>VLOOKUP(A166,[4]fnd_gfm_43298103!$B:$F,5,0)</f>
        <v>10</v>
      </c>
      <c r="G166" s="3">
        <f t="shared" si="4"/>
        <v>11</v>
      </c>
      <c r="H166" s="3">
        <f>VLOOKUP(A166,'[2]CUMP Articles'!$A:$H,8,0)</f>
        <v>205168.77277777699</v>
      </c>
      <c r="I166" s="3">
        <f t="shared" si="5"/>
        <v>2256856.500555547</v>
      </c>
      <c r="J166" s="3" t="str">
        <f>VLOOKUP(A166,'[3]Stock actif'!$A:$K,10,0)</f>
        <v>Oui</v>
      </c>
      <c r="K166" s="3" t="str">
        <f>VLOOKUP(A166,'[3]Stock actif'!$A:$K,11,0)</f>
        <v>Alcatel-Lucent</v>
      </c>
    </row>
    <row r="167" spans="1:11" x14ac:dyDescent="0.35">
      <c r="A167" s="3">
        <v>2579</v>
      </c>
      <c r="B167" s="3" t="s">
        <v>172</v>
      </c>
      <c r="C167" s="3" t="s">
        <v>4</v>
      </c>
      <c r="D167" s="3" t="s">
        <v>120</v>
      </c>
      <c r="E167" s="3">
        <f>VLOOKUP(A167,[1]fnd_gfm_43298102!$B:$F,5,0)</f>
        <v>6</v>
      </c>
      <c r="F167" s="3">
        <f>VLOOKUP(A167,[4]fnd_gfm_43298103!$B:$F,5,0)</f>
        <v>145</v>
      </c>
      <c r="G167" s="3">
        <f t="shared" si="4"/>
        <v>151</v>
      </c>
      <c r="H167" s="3">
        <f>VLOOKUP(A167,'[2]CUMP Articles'!$A:$H,8,0)</f>
        <v>12594.980132450301</v>
      </c>
      <c r="I167" s="3">
        <f t="shared" si="5"/>
        <v>1901841.9999999953</v>
      </c>
      <c r="J167" s="3" t="str">
        <f>VLOOKUP(A167,'[3]Stock actif'!$A:$K,10,0)</f>
        <v>Oui</v>
      </c>
      <c r="K167" s="3" t="str">
        <f>VLOOKUP(A167,'[3]Stock actif'!$A:$K,11,0)</f>
        <v>Nexans</v>
      </c>
    </row>
    <row r="168" spans="1:11" x14ac:dyDescent="0.35">
      <c r="A168" s="3">
        <v>2588</v>
      </c>
      <c r="B168" s="3" t="s">
        <v>173</v>
      </c>
      <c r="C168" s="3" t="s">
        <v>4</v>
      </c>
      <c r="D168" s="3" t="s">
        <v>120</v>
      </c>
      <c r="E168" s="3">
        <f>VLOOKUP(A168,[1]fnd_gfm_43298102!$B:$F,5,0)</f>
        <v>50</v>
      </c>
      <c r="F168" s="3">
        <f>VLOOKUP(A168,[4]fnd_gfm_43298103!$B:$F,5,0)</f>
        <v>3690</v>
      </c>
      <c r="G168" s="3">
        <f t="shared" si="4"/>
        <v>3740</v>
      </c>
      <c r="H168" s="3">
        <f>VLOOKUP(A168,'[2]CUMP Articles'!$A:$H,8,0)</f>
        <v>1500</v>
      </c>
      <c r="I168" s="3">
        <f t="shared" si="5"/>
        <v>5610000</v>
      </c>
      <c r="J168" s="3" t="str">
        <f>VLOOKUP(A168,'[3]Stock actif'!$A:$K,10,0)</f>
        <v>Non</v>
      </c>
      <c r="K168" s="3" t="str">
        <f>VLOOKUP(A168,'[3]Stock actif'!$A:$K,11,0)</f>
        <v>Générique</v>
      </c>
    </row>
    <row r="169" spans="1:11" x14ac:dyDescent="0.35">
      <c r="A169" s="3">
        <v>2590</v>
      </c>
      <c r="B169" s="3" t="s">
        <v>174</v>
      </c>
      <c r="C169" s="3" t="s">
        <v>4</v>
      </c>
      <c r="D169" s="3" t="s">
        <v>120</v>
      </c>
      <c r="E169" s="3">
        <f>VLOOKUP(A169,[1]fnd_gfm_43298102!$B:$F,5,0)</f>
        <v>316</v>
      </c>
      <c r="F169" s="3">
        <f>VLOOKUP(A169,[4]fnd_gfm_43298103!$B:$F,5,0)</f>
        <v>2411</v>
      </c>
      <c r="G169" s="3">
        <f t="shared" si="4"/>
        <v>2727</v>
      </c>
      <c r="H169" s="3">
        <f>VLOOKUP(A169,'[2]CUMP Articles'!$A:$H,8,0)</f>
        <v>1418.0830903323799</v>
      </c>
      <c r="I169" s="3">
        <f t="shared" si="5"/>
        <v>3867112.5873364001</v>
      </c>
      <c r="J169" s="3" t="str">
        <f>VLOOKUP(A169,'[3]Stock actif'!$A:$K,10,0)</f>
        <v>Oui</v>
      </c>
      <c r="K169" s="3" t="str">
        <f>VLOOKUP(A169,'[3]Stock actif'!$A:$K,11,0)</f>
        <v>Nexans</v>
      </c>
    </row>
    <row r="170" spans="1:11" x14ac:dyDescent="0.35">
      <c r="A170" s="3">
        <v>2591</v>
      </c>
      <c r="B170" s="3" t="s">
        <v>175</v>
      </c>
      <c r="C170" s="3" t="s">
        <v>4</v>
      </c>
      <c r="D170" s="3" t="s">
        <v>120</v>
      </c>
      <c r="E170" s="3">
        <f>VLOOKUP(A170,[1]fnd_gfm_43298102!$B:$F,5,0)</f>
        <v>5</v>
      </c>
      <c r="F170" s="3">
        <f>VLOOKUP(A170,[4]fnd_gfm_43298103!$B:$F,5,0)</f>
        <v>41</v>
      </c>
      <c r="G170" s="3">
        <f t="shared" si="4"/>
        <v>46</v>
      </c>
      <c r="H170" s="3">
        <f>VLOOKUP(A170,'[2]CUMP Articles'!$A:$H,8,0)</f>
        <v>28228.004016609801</v>
      </c>
      <c r="I170" s="3">
        <f t="shared" si="5"/>
        <v>1298488.1847640509</v>
      </c>
      <c r="J170" s="3" t="str">
        <f>VLOOKUP(A170,'[3]Stock actif'!$A:$K,10,0)</f>
        <v>Oui</v>
      </c>
      <c r="K170" s="3" t="str">
        <f>VLOOKUP(A170,'[3]Stock actif'!$A:$K,11,0)</f>
        <v>Alcatel-Lucent</v>
      </c>
    </row>
    <row r="171" spans="1:11" x14ac:dyDescent="0.35">
      <c r="A171" s="3">
        <v>2592</v>
      </c>
      <c r="B171" s="3" t="s">
        <v>176</v>
      </c>
      <c r="C171" s="3" t="s">
        <v>4</v>
      </c>
      <c r="D171" s="3" t="s">
        <v>120</v>
      </c>
      <c r="E171" s="3">
        <f>VLOOKUP(A171,[1]fnd_gfm_43298102!$B:$F,5,0)</f>
        <v>8</v>
      </c>
      <c r="F171" s="3">
        <f>VLOOKUP(A171,[4]fnd_gfm_43298103!$B:$F,5,0)</f>
        <v>25</v>
      </c>
      <c r="G171" s="3">
        <f t="shared" si="4"/>
        <v>33</v>
      </c>
      <c r="H171" s="3">
        <f>VLOOKUP(A171,'[2]CUMP Articles'!$A:$H,8,0)</f>
        <v>19253.186371658601</v>
      </c>
      <c r="I171" s="3">
        <f t="shared" si="5"/>
        <v>635355.15026473382</v>
      </c>
      <c r="J171" s="3" t="str">
        <f>VLOOKUP(A171,'[3]Stock actif'!$A:$K,10,0)</f>
        <v>Oui</v>
      </c>
      <c r="K171" s="3" t="str">
        <f>VLOOKUP(A171,'[3]Stock actif'!$A:$K,11,0)</f>
        <v>Alcatel-Lucent</v>
      </c>
    </row>
    <row r="172" spans="1:11" x14ac:dyDescent="0.35">
      <c r="A172" s="3">
        <v>2593</v>
      </c>
      <c r="B172" s="3" t="s">
        <v>177</v>
      </c>
      <c r="C172" s="3" t="s">
        <v>4</v>
      </c>
      <c r="D172" s="3" t="s">
        <v>120</v>
      </c>
      <c r="E172" s="3"/>
      <c r="F172" s="3">
        <f>VLOOKUP(A172,[4]fnd_gfm_43298103!$B:$F,5,0)</f>
        <v>24</v>
      </c>
      <c r="G172" s="3">
        <f t="shared" si="4"/>
        <v>24</v>
      </c>
      <c r="H172" s="3">
        <f>VLOOKUP(A172,'[2]CUMP Articles'!$A:$H,8,0)</f>
        <v>20345.824483950601</v>
      </c>
      <c r="I172" s="3">
        <f t="shared" si="5"/>
        <v>488299.78761481441</v>
      </c>
      <c r="J172" s="3" t="str">
        <f>VLOOKUP(A172,'[3]Stock actif'!$A:$K,10,0)</f>
        <v>Oui</v>
      </c>
      <c r="K172" s="3" t="str">
        <f>VLOOKUP(A172,'[3]Stock actif'!$A:$K,11,0)</f>
        <v>Alcatel-Lucent</v>
      </c>
    </row>
    <row r="173" spans="1:11" x14ac:dyDescent="0.35">
      <c r="A173" s="3">
        <v>2595</v>
      </c>
      <c r="B173" s="3" t="s">
        <v>178</v>
      </c>
      <c r="C173" s="3" t="s">
        <v>4</v>
      </c>
      <c r="D173" s="3" t="s">
        <v>120</v>
      </c>
      <c r="E173" s="3">
        <f>VLOOKUP(A173,[1]fnd_gfm_43298102!$B:$F,5,0)</f>
        <v>1020</v>
      </c>
      <c r="F173" s="3"/>
      <c r="G173" s="3">
        <f t="shared" si="4"/>
        <v>1020</v>
      </c>
      <c r="H173" s="3">
        <f>VLOOKUP(A173,'[2]CUMP Articles'!$A:$H,8,0)</f>
        <v>11.046791701913801</v>
      </c>
      <c r="I173" s="3">
        <f t="shared" si="5"/>
        <v>11267.727535952077</v>
      </c>
      <c r="J173" s="3" t="str">
        <f>VLOOKUP(A173,'[3]Stock actif'!$A:$K,10,0)</f>
        <v>Non</v>
      </c>
      <c r="K173" s="3" t="str">
        <f>VLOOKUP(A173,'[3]Stock actif'!$A:$K,11,0)</f>
        <v>Générique</v>
      </c>
    </row>
    <row r="174" spans="1:11" x14ac:dyDescent="0.35">
      <c r="A174" s="3">
        <v>2603</v>
      </c>
      <c r="B174" s="3" t="s">
        <v>179</v>
      </c>
      <c r="C174" s="3" t="s">
        <v>4</v>
      </c>
      <c r="D174" s="3" t="s">
        <v>120</v>
      </c>
      <c r="E174" s="3"/>
      <c r="F174" s="3">
        <f>VLOOKUP(A174,[4]fnd_gfm_43298103!$B:$F,5,0)</f>
        <v>5</v>
      </c>
      <c r="G174" s="3">
        <f t="shared" si="4"/>
        <v>5</v>
      </c>
      <c r="H174" s="3">
        <f>VLOOKUP(A174,'[2]CUMP Articles'!$A:$H,8,0)</f>
        <v>5025</v>
      </c>
      <c r="I174" s="3">
        <f t="shared" si="5"/>
        <v>25125</v>
      </c>
      <c r="J174" s="3" t="str">
        <f>VLOOKUP(A174,'[3]Stock actif'!$A:$K,10,0)</f>
        <v>Oui</v>
      </c>
      <c r="K174" s="3" t="str">
        <f>VLOOKUP(A174,'[3]Stock actif'!$A:$K,11,0)</f>
        <v>Générique</v>
      </c>
    </row>
    <row r="175" spans="1:11" x14ac:dyDescent="0.35">
      <c r="A175" s="3">
        <v>2607</v>
      </c>
      <c r="B175" s="3" t="s">
        <v>181</v>
      </c>
      <c r="C175" s="3" t="s">
        <v>4</v>
      </c>
      <c r="D175" s="3" t="s">
        <v>120</v>
      </c>
      <c r="E175" s="3">
        <f>VLOOKUP(A175,[1]fnd_gfm_43298102!$B:$F,5,0)</f>
        <v>1</v>
      </c>
      <c r="F175" s="3"/>
      <c r="G175" s="3">
        <f t="shared" si="4"/>
        <v>1</v>
      </c>
      <c r="H175" s="3">
        <f>VLOOKUP(A175,'[2]CUMP Articles'!$A:$H,8,0)</f>
        <v>293578.30816233798</v>
      </c>
      <c r="I175" s="3">
        <f t="shared" si="5"/>
        <v>293578.30816233798</v>
      </c>
      <c r="J175" s="3" t="str">
        <f>VLOOKUP(A175,'[3]Stock actif'!$A:$K,10,0)</f>
        <v>Oui</v>
      </c>
      <c r="K175" s="3" t="str">
        <f>VLOOKUP(A175,'[3]Stock actif'!$A:$K,11,0)</f>
        <v>Cisco</v>
      </c>
    </row>
    <row r="176" spans="1:11" x14ac:dyDescent="0.35">
      <c r="A176" s="3">
        <v>2612</v>
      </c>
      <c r="B176" s="3" t="s">
        <v>182</v>
      </c>
      <c r="C176" s="3" t="s">
        <v>4</v>
      </c>
      <c r="D176" s="3" t="s">
        <v>120</v>
      </c>
      <c r="E176" s="3"/>
      <c r="F176" s="3">
        <f>VLOOKUP(A176,[4]fnd_gfm_43298103!$B:$F,5,0)</f>
        <v>1</v>
      </c>
      <c r="G176" s="3">
        <f t="shared" si="4"/>
        <v>1</v>
      </c>
      <c r="H176" s="3">
        <f>VLOOKUP(A176,'[2]CUMP Articles'!$A:$H,8,0)</f>
        <v>600</v>
      </c>
      <c r="I176" s="3">
        <f t="shared" si="5"/>
        <v>600</v>
      </c>
      <c r="J176" s="3" t="str">
        <f>VLOOKUP(A176,'[3]Stock actif'!$A:$K,10,0)</f>
        <v>Non</v>
      </c>
      <c r="K176" s="3" t="str">
        <f>VLOOKUP(A176,'[3]Stock actif'!$A:$K,11,0)</f>
        <v>Générique</v>
      </c>
    </row>
    <row r="177" spans="1:11" x14ac:dyDescent="0.35">
      <c r="A177" s="3">
        <v>2616</v>
      </c>
      <c r="B177" s="3" t="s">
        <v>183</v>
      </c>
      <c r="C177" s="3" t="s">
        <v>4</v>
      </c>
      <c r="D177" s="3" t="s">
        <v>120</v>
      </c>
      <c r="E177" s="3">
        <f>VLOOKUP(A177,[1]fnd_gfm_43298102!$B:$F,5,0)</f>
        <v>7</v>
      </c>
      <c r="F177" s="3"/>
      <c r="G177" s="3">
        <f t="shared" si="4"/>
        <v>7</v>
      </c>
      <c r="H177" s="3">
        <f>VLOOKUP(A177,'[2]CUMP Articles'!$A:$H,8,0)</f>
        <v>31234</v>
      </c>
      <c r="I177" s="3">
        <f t="shared" si="5"/>
        <v>218638</v>
      </c>
      <c r="J177" s="3" t="str">
        <f>VLOOKUP(A177,'[3]Stock actif'!$A:$K,10,0)</f>
        <v>Oui</v>
      </c>
      <c r="K177" s="3" t="str">
        <f>VLOOKUP(A177,'[3]Stock actif'!$A:$K,11,0)</f>
        <v>Alcatel-Lucent</v>
      </c>
    </row>
    <row r="178" spans="1:11" x14ac:dyDescent="0.35">
      <c r="A178" s="3">
        <v>2620</v>
      </c>
      <c r="B178" s="3" t="s">
        <v>184</v>
      </c>
      <c r="C178" s="3" t="s">
        <v>4</v>
      </c>
      <c r="D178" s="3" t="s">
        <v>120</v>
      </c>
      <c r="E178" s="3"/>
      <c r="F178" s="3">
        <f>VLOOKUP(A178,[4]fnd_gfm_43298103!$B:$F,5,0)</f>
        <v>3</v>
      </c>
      <c r="G178" s="3">
        <f t="shared" si="4"/>
        <v>3</v>
      </c>
      <c r="H178" s="3">
        <f>VLOOKUP(A178,'[2]CUMP Articles'!$A:$H,8,0)</f>
        <v>134786</v>
      </c>
      <c r="I178" s="3">
        <f t="shared" si="5"/>
        <v>404358</v>
      </c>
      <c r="J178" s="3" t="str">
        <f>VLOOKUP(A178,'[3]Stock actif'!$A:$K,10,0)</f>
        <v>Oui</v>
      </c>
      <c r="K178" s="3" t="str">
        <f>VLOOKUP(A178,'[3]Stock actif'!$A:$K,11,0)</f>
        <v>Alcatel-Lucent</v>
      </c>
    </row>
    <row r="179" spans="1:11" x14ac:dyDescent="0.35">
      <c r="A179" s="3">
        <v>2622</v>
      </c>
      <c r="B179" s="3" t="s">
        <v>185</v>
      </c>
      <c r="C179" s="3" t="s">
        <v>4</v>
      </c>
      <c r="D179" s="3" t="s">
        <v>120</v>
      </c>
      <c r="E179" s="3"/>
      <c r="F179" s="3">
        <f>VLOOKUP(A179,[4]fnd_gfm_43298103!$B:$F,5,0)</f>
        <v>250</v>
      </c>
      <c r="G179" s="3">
        <f t="shared" si="4"/>
        <v>250</v>
      </c>
      <c r="H179" s="3">
        <f>VLOOKUP(A179,'[2]CUMP Articles'!$A:$H,8,0)</f>
        <v>1047</v>
      </c>
      <c r="I179" s="3">
        <f t="shared" si="5"/>
        <v>261750</v>
      </c>
      <c r="J179" s="3" t="str">
        <f>VLOOKUP(A179,'[3]Stock actif'!$A:$K,10,0)</f>
        <v>Non</v>
      </c>
      <c r="K179" s="3" t="str">
        <f>VLOOKUP(A179,'[3]Stock actif'!$A:$K,11,0)</f>
        <v>Générique</v>
      </c>
    </row>
    <row r="180" spans="1:11" x14ac:dyDescent="0.35">
      <c r="A180" s="3">
        <v>2623</v>
      </c>
      <c r="B180" s="3" t="s">
        <v>186</v>
      </c>
      <c r="C180" s="3" t="s">
        <v>4</v>
      </c>
      <c r="D180" s="3" t="s">
        <v>120</v>
      </c>
      <c r="E180" s="3">
        <f>VLOOKUP(A180,[1]fnd_gfm_43298102!$B:$F,5,0)</f>
        <v>34</v>
      </c>
      <c r="F180" s="3">
        <f>VLOOKUP(A180,[4]fnd_gfm_43298103!$B:$F,5,0)</f>
        <v>60</v>
      </c>
      <c r="G180" s="3">
        <f t="shared" si="4"/>
        <v>94</v>
      </c>
      <c r="H180" s="3">
        <f>VLOOKUP(A180,'[2]CUMP Articles'!$A:$H,8,0)</f>
        <v>56674.684800000003</v>
      </c>
      <c r="I180" s="3">
        <f t="shared" si="5"/>
        <v>5327420.3711999999</v>
      </c>
      <c r="J180" s="3" t="str">
        <f>VLOOKUP(A180,'[3]Stock actif'!$A:$K,10,0)</f>
        <v>Oui</v>
      </c>
      <c r="K180" s="3" t="str">
        <f>VLOOKUP(A180,'[3]Stock actif'!$A:$K,11,0)</f>
        <v>Alcatel-Lucent</v>
      </c>
    </row>
    <row r="181" spans="1:11" x14ac:dyDescent="0.35">
      <c r="A181" s="3">
        <v>2625</v>
      </c>
      <c r="B181" s="3" t="s">
        <v>187</v>
      </c>
      <c r="C181" s="3" t="s">
        <v>4</v>
      </c>
      <c r="D181" s="3" t="s">
        <v>120</v>
      </c>
      <c r="E181" s="3">
        <f>VLOOKUP(A181,[1]fnd_gfm_43298102!$B:$F,5,0)</f>
        <v>60</v>
      </c>
      <c r="F181" s="3">
        <f>VLOOKUP(A181,[4]fnd_gfm_43298103!$B:$F,5,0)</f>
        <v>200</v>
      </c>
      <c r="G181" s="3">
        <f t="shared" si="4"/>
        <v>260</v>
      </c>
      <c r="H181" s="3">
        <f>VLOOKUP(A181,'[2]CUMP Articles'!$A:$H,8,0)</f>
        <v>56438.540280000001</v>
      </c>
      <c r="I181" s="3">
        <f t="shared" si="5"/>
        <v>14674020.4728</v>
      </c>
      <c r="J181" s="3" t="str">
        <f>VLOOKUP(A181,'[3]Stock actif'!$A:$K,10,0)</f>
        <v>OUI</v>
      </c>
      <c r="K181" s="3" t="str">
        <f>VLOOKUP(A181,'[3]Stock actif'!$A:$K,11,0)</f>
        <v>Alcatel-Lucent</v>
      </c>
    </row>
    <row r="182" spans="1:11" x14ac:dyDescent="0.35">
      <c r="A182" s="3">
        <v>2630</v>
      </c>
      <c r="B182" s="3" t="s">
        <v>188</v>
      </c>
      <c r="C182" s="3" t="s">
        <v>4</v>
      </c>
      <c r="D182" s="3" t="s">
        <v>120</v>
      </c>
      <c r="E182" s="3">
        <f>VLOOKUP(A182,[1]fnd_gfm_43298102!$B:$F,5,0)</f>
        <v>14</v>
      </c>
      <c r="F182" s="3">
        <f>VLOOKUP(A182,[4]fnd_gfm_43298103!$B:$F,5,0)</f>
        <v>253</v>
      </c>
      <c r="G182" s="3">
        <f t="shared" si="4"/>
        <v>267</v>
      </c>
      <c r="H182" s="3">
        <f>VLOOKUP(A182,'[2]CUMP Articles'!$A:$H,8,0)</f>
        <v>1946.8786435786401</v>
      </c>
      <c r="I182" s="3">
        <f t="shared" si="5"/>
        <v>519816.59783549688</v>
      </c>
      <c r="J182" s="3" t="str">
        <f>VLOOKUP(A182,'[3]Stock actif'!$A:$K,10,0)</f>
        <v>Non</v>
      </c>
      <c r="K182" s="3" t="str">
        <f>VLOOKUP(A182,'[3]Stock actif'!$A:$K,11,0)</f>
        <v>Générique</v>
      </c>
    </row>
    <row r="183" spans="1:11" x14ac:dyDescent="0.35">
      <c r="A183" s="3">
        <v>2631</v>
      </c>
      <c r="B183" s="3" t="s">
        <v>189</v>
      </c>
      <c r="C183" s="3" t="s">
        <v>4</v>
      </c>
      <c r="D183" s="3" t="s">
        <v>120</v>
      </c>
      <c r="E183" s="3">
        <f>VLOOKUP(A183,[1]fnd_gfm_43298102!$B:$F,5,0)</f>
        <v>7</v>
      </c>
      <c r="F183" s="3"/>
      <c r="G183" s="3">
        <f t="shared" si="4"/>
        <v>7</v>
      </c>
      <c r="H183" s="3">
        <f>VLOOKUP(A183,'[2]CUMP Articles'!$A:$H,8,0)</f>
        <v>8711</v>
      </c>
      <c r="I183" s="3">
        <f t="shared" si="5"/>
        <v>60977</v>
      </c>
      <c r="J183" s="3" t="str">
        <f>VLOOKUP(A183,'[3]Stock actif'!$A:$K,10,0)</f>
        <v>Oui</v>
      </c>
      <c r="K183" s="3" t="str">
        <f>VLOOKUP(A183,'[3]Stock actif'!$A:$K,11,0)</f>
        <v>Nexans</v>
      </c>
    </row>
    <row r="184" spans="1:11" x14ac:dyDescent="0.35">
      <c r="A184" s="3">
        <v>2637</v>
      </c>
      <c r="B184" s="3" t="s">
        <v>190</v>
      </c>
      <c r="C184" s="3" t="s">
        <v>4</v>
      </c>
      <c r="D184" s="3" t="s">
        <v>120</v>
      </c>
      <c r="E184" s="3">
        <f>VLOOKUP(A184,[1]fnd_gfm_43298102!$B:$F,5,0)</f>
        <v>87</v>
      </c>
      <c r="F184" s="3"/>
      <c r="G184" s="3">
        <f t="shared" si="4"/>
        <v>87</v>
      </c>
      <c r="H184" s="3">
        <f>VLOOKUP(A184,'[2]CUMP Articles'!$A:$H,8,0)</f>
        <v>200</v>
      </c>
      <c r="I184" s="3">
        <f t="shared" si="5"/>
        <v>17400</v>
      </c>
      <c r="J184" s="3" t="str">
        <f>VLOOKUP(A184,'[3]Stock actif'!$A:$K,10,0)</f>
        <v>non</v>
      </c>
      <c r="K184" s="3" t="str">
        <f>VLOOKUP(A184,'[3]Stock actif'!$A:$K,11,0)</f>
        <v>Générique</v>
      </c>
    </row>
    <row r="185" spans="1:11" x14ac:dyDescent="0.35">
      <c r="A185" s="3">
        <v>2645</v>
      </c>
      <c r="B185" s="3" t="s">
        <v>191</v>
      </c>
      <c r="C185" s="3" t="s">
        <v>4</v>
      </c>
      <c r="D185" s="3" t="s">
        <v>120</v>
      </c>
      <c r="E185" s="3"/>
      <c r="F185" s="3">
        <f>VLOOKUP(A185,[4]fnd_gfm_43298103!$B:$F,5,0)</f>
        <v>2</v>
      </c>
      <c r="G185" s="3">
        <f t="shared" si="4"/>
        <v>2</v>
      </c>
      <c r="H185" s="3">
        <f>VLOOKUP(A185,'[2]CUMP Articles'!$A:$H,8,0)</f>
        <v>36412</v>
      </c>
      <c r="I185" s="3">
        <f t="shared" si="5"/>
        <v>72824</v>
      </c>
      <c r="J185" s="3" t="str">
        <f>VLOOKUP(A185,'[3]Stock actif'!$A:$K,10,0)</f>
        <v>Oui</v>
      </c>
      <c r="K185" s="3" t="str">
        <f>VLOOKUP(A185,'[3]Stock actif'!$A:$K,11,0)</f>
        <v>Alcatel-Lucent</v>
      </c>
    </row>
    <row r="186" spans="1:11" x14ac:dyDescent="0.35">
      <c r="A186" s="3">
        <v>2652</v>
      </c>
      <c r="B186" s="3" t="s">
        <v>192</v>
      </c>
      <c r="C186" s="3" t="s">
        <v>4</v>
      </c>
      <c r="D186" s="3" t="s">
        <v>120</v>
      </c>
      <c r="E186" s="3"/>
      <c r="F186" s="3">
        <f>VLOOKUP(A186,[4]fnd_gfm_43298103!$B:$F,5,0)</f>
        <v>10</v>
      </c>
      <c r="G186" s="3">
        <f t="shared" si="4"/>
        <v>10</v>
      </c>
      <c r="H186" s="3">
        <f>VLOOKUP(A186,'[2]CUMP Articles'!$A:$H,8,0)</f>
        <v>122315</v>
      </c>
      <c r="I186" s="3">
        <f t="shared" si="5"/>
        <v>1223150</v>
      </c>
      <c r="J186" s="3" t="str">
        <f>VLOOKUP(A186,'[3]Stock actif'!$A:$K,10,0)</f>
        <v>Oui</v>
      </c>
      <c r="K186" s="3" t="str">
        <f>VLOOKUP(A186,'[3]Stock actif'!$A:$K,11,0)</f>
        <v>Générique</v>
      </c>
    </row>
    <row r="187" spans="1:11" x14ac:dyDescent="0.35">
      <c r="A187" s="3">
        <v>2654</v>
      </c>
      <c r="B187" s="3" t="s">
        <v>193</v>
      </c>
      <c r="C187" s="3" t="s">
        <v>4</v>
      </c>
      <c r="D187" s="3" t="s">
        <v>120</v>
      </c>
      <c r="E187" s="3"/>
      <c r="F187" s="3">
        <f>VLOOKUP(A187,[4]fnd_gfm_43298103!$B:$F,5,0)</f>
        <v>4</v>
      </c>
      <c r="G187" s="3">
        <f t="shared" si="4"/>
        <v>4</v>
      </c>
      <c r="H187" s="3">
        <f>VLOOKUP(A187,'[2]CUMP Articles'!$A:$H,8,0)</f>
        <v>225942.11300000001</v>
      </c>
      <c r="I187" s="3">
        <f t="shared" si="5"/>
        <v>903768.45200000005</v>
      </c>
      <c r="J187" s="3" t="str">
        <f>VLOOKUP(A187,'[3]Stock actif'!$A:$K,10,0)</f>
        <v>Oui</v>
      </c>
      <c r="K187" s="3" t="str">
        <f>VLOOKUP(A187,'[3]Stock actif'!$A:$K,11,0)</f>
        <v>Cisco</v>
      </c>
    </row>
    <row r="188" spans="1:11" x14ac:dyDescent="0.35">
      <c r="A188" s="3">
        <v>2655</v>
      </c>
      <c r="B188" s="3" t="s">
        <v>194</v>
      </c>
      <c r="C188" s="3" t="s">
        <v>4</v>
      </c>
      <c r="D188" s="3" t="s">
        <v>120</v>
      </c>
      <c r="E188" s="3"/>
      <c r="F188" s="3">
        <f>VLOOKUP(A188,[4]fnd_gfm_43298103!$B:$F,5,0)</f>
        <v>10</v>
      </c>
      <c r="G188" s="3">
        <f t="shared" si="4"/>
        <v>10</v>
      </c>
      <c r="H188" s="3">
        <f>VLOOKUP(A188,'[2]CUMP Articles'!$A:$H,8,0)</f>
        <v>189044</v>
      </c>
      <c r="I188" s="3">
        <f t="shared" si="5"/>
        <v>1890440</v>
      </c>
      <c r="J188" s="3" t="str">
        <f>VLOOKUP(A188,'[3]Stock actif'!$A:$K,10,0)</f>
        <v>Oui</v>
      </c>
      <c r="K188" s="3" t="str">
        <f>VLOOKUP(A188,'[3]Stock actif'!$A:$K,11,0)</f>
        <v>Cisco</v>
      </c>
    </row>
    <row r="189" spans="1:11" x14ac:dyDescent="0.35">
      <c r="A189" s="3">
        <v>2657</v>
      </c>
      <c r="B189" s="3" t="s">
        <v>195</v>
      </c>
      <c r="C189" s="3" t="s">
        <v>4</v>
      </c>
      <c r="D189" s="3" t="s">
        <v>120</v>
      </c>
      <c r="E189" s="3">
        <f>VLOOKUP(A189,[1]fnd_gfm_43298102!$B:$F,5,0)</f>
        <v>415</v>
      </c>
      <c r="F189" s="3"/>
      <c r="G189" s="3">
        <f t="shared" si="4"/>
        <v>415</v>
      </c>
      <c r="H189" s="3">
        <f>VLOOKUP(A189,'[2]CUMP Articles'!$A:$H,8,0)</f>
        <v>50</v>
      </c>
      <c r="I189" s="3">
        <f t="shared" si="5"/>
        <v>20750</v>
      </c>
      <c r="J189" s="3" t="str">
        <f>VLOOKUP(A189,'[3]Stock actif'!$A:$K,10,0)</f>
        <v>Non</v>
      </c>
      <c r="K189" s="3" t="str">
        <f>VLOOKUP(A189,'[3]Stock actif'!$A:$K,11,0)</f>
        <v>Générique</v>
      </c>
    </row>
    <row r="190" spans="1:11" x14ac:dyDescent="0.35">
      <c r="A190" s="3">
        <v>2661</v>
      </c>
      <c r="B190" s="3" t="s">
        <v>196</v>
      </c>
      <c r="C190" s="3" t="s">
        <v>4</v>
      </c>
      <c r="D190" s="3" t="s">
        <v>120</v>
      </c>
      <c r="E190" s="3"/>
      <c r="F190" s="3">
        <f>VLOOKUP(A190,[4]fnd_gfm_43298103!$B:$F,5,0)</f>
        <v>65</v>
      </c>
      <c r="G190" s="3">
        <f t="shared" si="4"/>
        <v>65</v>
      </c>
      <c r="H190" s="3">
        <f>VLOOKUP(A190,'[2]CUMP Articles'!$A:$H,8,0)</f>
        <v>1231</v>
      </c>
      <c r="I190" s="3">
        <f t="shared" si="5"/>
        <v>80015</v>
      </c>
      <c r="J190" s="3" t="str">
        <f>VLOOKUP(A190,'[3]Stock actif'!$A:$K,10,0)</f>
        <v>Non</v>
      </c>
      <c r="K190" s="3" t="str">
        <f>VLOOKUP(A190,'[3]Stock actif'!$A:$K,11,0)</f>
        <v>Générique</v>
      </c>
    </row>
    <row r="191" spans="1:11" x14ac:dyDescent="0.35">
      <c r="A191" s="3">
        <v>2663</v>
      </c>
      <c r="B191" s="3" t="s">
        <v>197</v>
      </c>
      <c r="C191" s="3" t="s">
        <v>4</v>
      </c>
      <c r="D191" s="3" t="s">
        <v>120</v>
      </c>
      <c r="E191" s="3"/>
      <c r="F191" s="3">
        <f>VLOOKUP(A191,[4]fnd_gfm_43298103!$B:$F,5,0)</f>
        <v>10</v>
      </c>
      <c r="G191" s="3">
        <f t="shared" si="4"/>
        <v>10</v>
      </c>
      <c r="H191" s="3">
        <f>VLOOKUP(A191,'[2]CUMP Articles'!$A:$H,8,0)</f>
        <v>2112</v>
      </c>
      <c r="I191" s="3">
        <f t="shared" si="5"/>
        <v>21120</v>
      </c>
      <c r="J191" s="3" t="str">
        <f>VLOOKUP(A191,'[3]Stock actif'!$A:$K,10,0)</f>
        <v>Non</v>
      </c>
      <c r="K191" s="3" t="str">
        <f>VLOOKUP(A191,'[3]Stock actif'!$A:$K,11,0)</f>
        <v>Générique</v>
      </c>
    </row>
    <row r="192" spans="1:11" x14ac:dyDescent="0.35">
      <c r="A192" s="3">
        <v>2665</v>
      </c>
      <c r="B192" s="3" t="s">
        <v>198</v>
      </c>
      <c r="C192" s="3" t="s">
        <v>4</v>
      </c>
      <c r="D192" s="3" t="s">
        <v>120</v>
      </c>
      <c r="E192" s="3">
        <f>VLOOKUP(A192,[1]fnd_gfm_43298102!$B:$F,5,0)</f>
        <v>1</v>
      </c>
      <c r="F192" s="3"/>
      <c r="G192" s="3">
        <f t="shared" si="4"/>
        <v>1</v>
      </c>
      <c r="H192" s="3">
        <f>VLOOKUP(A192,'[2]CUMP Articles'!$A:$H,8,0)</f>
        <v>96283</v>
      </c>
      <c r="I192" s="3">
        <f t="shared" si="5"/>
        <v>96283</v>
      </c>
      <c r="J192" s="3" t="str">
        <f>VLOOKUP(A192,'[3]Stock actif'!$A:$K,10,0)</f>
        <v>Oui</v>
      </c>
      <c r="K192" s="3" t="str">
        <f>VLOOKUP(A192,'[3]Stock actif'!$A:$K,11,0)</f>
        <v>Alcatel-Lucent</v>
      </c>
    </row>
    <row r="193" spans="1:11" x14ac:dyDescent="0.35">
      <c r="A193" s="3">
        <v>2668</v>
      </c>
      <c r="B193" s="3" t="s">
        <v>199</v>
      </c>
      <c r="C193" s="3" t="s">
        <v>4</v>
      </c>
      <c r="D193" s="3" t="s">
        <v>120</v>
      </c>
      <c r="E193" s="3"/>
      <c r="F193" s="3">
        <f>VLOOKUP(A193,[4]fnd_gfm_43298103!$B:$F,5,0)</f>
        <v>220</v>
      </c>
      <c r="G193" s="3">
        <f t="shared" si="4"/>
        <v>220</v>
      </c>
      <c r="H193" s="3">
        <f>VLOOKUP(A193,'[2]CUMP Articles'!$A:$H,8,0)</f>
        <v>2227</v>
      </c>
      <c r="I193" s="3">
        <f t="shared" si="5"/>
        <v>489940</v>
      </c>
      <c r="J193" s="3" t="str">
        <f>VLOOKUP(A193,'[3]Stock actif'!$A:$K,10,0)</f>
        <v>Non</v>
      </c>
      <c r="K193" s="3" t="str">
        <f>VLOOKUP(A193,'[3]Stock actif'!$A:$K,11,0)</f>
        <v>Générique</v>
      </c>
    </row>
    <row r="194" spans="1:11" x14ac:dyDescent="0.35">
      <c r="A194" s="3">
        <v>2670</v>
      </c>
      <c r="B194" s="3" t="s">
        <v>200</v>
      </c>
      <c r="C194" s="3" t="s">
        <v>4</v>
      </c>
      <c r="D194" s="3" t="s">
        <v>120</v>
      </c>
      <c r="E194" s="3"/>
      <c r="F194" s="3">
        <f>VLOOKUP(A194,[4]fnd_gfm_43298103!$B:$F,5,0)</f>
        <v>180</v>
      </c>
      <c r="G194" s="3">
        <f t="shared" si="4"/>
        <v>180</v>
      </c>
      <c r="H194" s="3">
        <f>VLOOKUP(A194,'[2]CUMP Articles'!$A:$H,8,0)</f>
        <v>2841.605724</v>
      </c>
      <c r="I194" s="3">
        <f t="shared" si="5"/>
        <v>511489.03032000002</v>
      </c>
      <c r="J194" s="3" t="str">
        <f>VLOOKUP(A194,'[3]Stock actif'!$A:$K,10,0)</f>
        <v>Non</v>
      </c>
      <c r="K194" s="3" t="str">
        <f>VLOOKUP(A194,'[3]Stock actif'!$A:$K,11,0)</f>
        <v>Générique</v>
      </c>
    </row>
    <row r="195" spans="1:11" x14ac:dyDescent="0.35">
      <c r="A195" s="3">
        <v>2673</v>
      </c>
      <c r="B195" s="3" t="s">
        <v>201</v>
      </c>
      <c r="C195" s="3" t="s">
        <v>4</v>
      </c>
      <c r="D195" s="3" t="s">
        <v>120</v>
      </c>
      <c r="E195" s="3"/>
      <c r="F195" s="3">
        <f>VLOOKUP(A195,[4]fnd_gfm_43298103!$B:$F,5,0)</f>
        <v>13</v>
      </c>
      <c r="G195" s="3">
        <f t="shared" ref="G195:G258" si="6">SUM(E195:F195)</f>
        <v>13</v>
      </c>
      <c r="H195" s="3">
        <f>VLOOKUP(A195,'[2]CUMP Articles'!$A:$H,8,0)</f>
        <v>2491</v>
      </c>
      <c r="I195" s="3">
        <f t="shared" ref="I195:I258" si="7">H195*G195</f>
        <v>32383</v>
      </c>
      <c r="J195" s="3" t="str">
        <f>VLOOKUP(A195,'[3]Stock actif'!$A:$K,10,0)</f>
        <v>Oui</v>
      </c>
      <c r="K195" s="3" t="str">
        <f>VLOOKUP(A195,'[3]Stock actif'!$A:$K,11,0)</f>
        <v>Cisco</v>
      </c>
    </row>
    <row r="196" spans="1:11" x14ac:dyDescent="0.35">
      <c r="A196" s="3">
        <v>2674</v>
      </c>
      <c r="B196" s="3" t="s">
        <v>202</v>
      </c>
      <c r="C196" s="3" t="s">
        <v>4</v>
      </c>
      <c r="D196" s="3" t="s">
        <v>120</v>
      </c>
      <c r="E196" s="3">
        <f>VLOOKUP(A196,[1]fnd_gfm_43298102!$B:$F,5,0)</f>
        <v>6</v>
      </c>
      <c r="F196" s="3">
        <f>VLOOKUP(A196,[4]fnd_gfm_43298103!$B:$F,5,0)</f>
        <v>4</v>
      </c>
      <c r="G196" s="3">
        <f t="shared" si="6"/>
        <v>10</v>
      </c>
      <c r="H196" s="3">
        <f>VLOOKUP(A196,'[2]CUMP Articles'!$A:$H,8,0)</f>
        <v>48109.504132231399</v>
      </c>
      <c r="I196" s="3">
        <f t="shared" si="7"/>
        <v>481095.04132231401</v>
      </c>
      <c r="J196" s="3" t="str">
        <f>VLOOKUP(A196,'[3]Stock actif'!$A:$K,10,0)</f>
        <v>Non</v>
      </c>
      <c r="K196" s="3" t="str">
        <f>VLOOKUP(A196,'[3]Stock actif'!$A:$K,11,0)</f>
        <v>Générique</v>
      </c>
    </row>
    <row r="197" spans="1:11" x14ac:dyDescent="0.35">
      <c r="A197" s="3">
        <v>2677</v>
      </c>
      <c r="B197" s="3" t="s">
        <v>203</v>
      </c>
      <c r="C197" s="3" t="s">
        <v>4</v>
      </c>
      <c r="D197" s="3" t="s">
        <v>120</v>
      </c>
      <c r="E197" s="3"/>
      <c r="F197" s="3">
        <f>VLOOKUP(A197,[4]fnd_gfm_43298103!$B:$F,5,0)</f>
        <v>291</v>
      </c>
      <c r="G197" s="3">
        <f t="shared" si="6"/>
        <v>291</v>
      </c>
      <c r="H197" s="3">
        <f>VLOOKUP(A197,'[2]CUMP Articles'!$A:$H,8,0)</f>
        <v>9118</v>
      </c>
      <c r="I197" s="3">
        <f t="shared" si="7"/>
        <v>2653338</v>
      </c>
      <c r="J197" s="3" t="str">
        <f>VLOOKUP(A197,'[3]Stock actif'!$A:$K,10,0)</f>
        <v>Non</v>
      </c>
      <c r="K197" s="3" t="str">
        <f>VLOOKUP(A197,'[3]Stock actif'!$A:$K,11,0)</f>
        <v>Générique</v>
      </c>
    </row>
    <row r="198" spans="1:11" x14ac:dyDescent="0.35">
      <c r="A198" s="3">
        <v>2678</v>
      </c>
      <c r="B198" s="3" t="s">
        <v>204</v>
      </c>
      <c r="C198" s="3" t="s">
        <v>4</v>
      </c>
      <c r="D198" s="3" t="s">
        <v>120</v>
      </c>
      <c r="E198" s="3"/>
      <c r="F198" s="3">
        <f>VLOOKUP(A198,[4]fnd_gfm_43298103!$B:$F,5,0)</f>
        <v>989</v>
      </c>
      <c r="G198" s="3">
        <f t="shared" si="6"/>
        <v>989</v>
      </c>
      <c r="H198" s="3">
        <f>VLOOKUP(A198,'[2]CUMP Articles'!$A:$H,8,0)</f>
        <v>754</v>
      </c>
      <c r="I198" s="3">
        <f t="shared" si="7"/>
        <v>745706</v>
      </c>
      <c r="J198" s="3" t="str">
        <f>VLOOKUP(A198,'[3]Stock actif'!$A:$K,10,0)</f>
        <v>Non</v>
      </c>
      <c r="K198" s="3" t="str">
        <f>VLOOKUP(A198,'[3]Stock actif'!$A:$K,11,0)</f>
        <v>Générique</v>
      </c>
    </row>
    <row r="199" spans="1:11" x14ac:dyDescent="0.35">
      <c r="A199" s="3">
        <v>2680</v>
      </c>
      <c r="B199" s="3" t="s">
        <v>205</v>
      </c>
      <c r="C199" s="3" t="s">
        <v>4</v>
      </c>
      <c r="D199" s="3" t="s">
        <v>120</v>
      </c>
      <c r="E199" s="3">
        <f>VLOOKUP(A199,[1]fnd_gfm_43298102!$B:$F,5,0)</f>
        <v>6</v>
      </c>
      <c r="F199" s="3">
        <f>VLOOKUP(A199,[4]fnd_gfm_43298103!$B:$F,5,0)</f>
        <v>30</v>
      </c>
      <c r="G199" s="3">
        <f t="shared" si="6"/>
        <v>36</v>
      </c>
      <c r="H199" s="3">
        <f>VLOOKUP(A199,'[2]CUMP Articles'!$A:$H,8,0)</f>
        <v>12357.1428571428</v>
      </c>
      <c r="I199" s="3">
        <f t="shared" si="7"/>
        <v>444857.1428571408</v>
      </c>
      <c r="J199" s="3" t="str">
        <f>VLOOKUP(A199,'[3]Stock actif'!$A:$K,10,0)</f>
        <v>Non</v>
      </c>
      <c r="K199" s="3" t="str">
        <f>VLOOKUP(A199,'[3]Stock actif'!$A:$K,11,0)</f>
        <v>Générique</v>
      </c>
    </row>
    <row r="200" spans="1:11" x14ac:dyDescent="0.35">
      <c r="A200" s="3">
        <v>2681</v>
      </c>
      <c r="B200" s="3" t="s">
        <v>206</v>
      </c>
      <c r="C200" s="3" t="s">
        <v>4</v>
      </c>
      <c r="D200" s="3" t="s">
        <v>120</v>
      </c>
      <c r="E200" s="3">
        <f>VLOOKUP(A200,[1]fnd_gfm_43298102!$B:$F,5,0)</f>
        <v>9</v>
      </c>
      <c r="F200" s="3">
        <f>VLOOKUP(A200,[4]fnd_gfm_43298103!$B:$F,5,0)</f>
        <v>123</v>
      </c>
      <c r="G200" s="3">
        <f t="shared" si="6"/>
        <v>132</v>
      </c>
      <c r="H200" s="3">
        <f>VLOOKUP(A200,'[2]CUMP Articles'!$A:$H,8,0)</f>
        <v>147632.49385714199</v>
      </c>
      <c r="I200" s="3">
        <f t="shared" si="7"/>
        <v>19487489.189142741</v>
      </c>
      <c r="J200" s="3" t="str">
        <f>VLOOKUP(A200,'[3]Stock actif'!$A:$K,10,0)</f>
        <v>Oui</v>
      </c>
      <c r="K200" s="3" t="str">
        <f>VLOOKUP(A200,'[3]Stock actif'!$A:$K,11,0)</f>
        <v>Alcatel-Lucent</v>
      </c>
    </row>
    <row r="201" spans="1:11" x14ac:dyDescent="0.35">
      <c r="A201" s="3">
        <v>2690</v>
      </c>
      <c r="B201" s="3" t="s">
        <v>207</v>
      </c>
      <c r="C201" s="3" t="s">
        <v>4</v>
      </c>
      <c r="D201" s="3" t="s">
        <v>120</v>
      </c>
      <c r="E201" s="3"/>
      <c r="F201" s="3">
        <f>VLOOKUP(A201,[4]fnd_gfm_43298103!$B:$F,5,0)</f>
        <v>1</v>
      </c>
      <c r="G201" s="3">
        <f t="shared" si="6"/>
        <v>1</v>
      </c>
      <c r="H201" s="3">
        <f>VLOOKUP(A201,'[2]CUMP Articles'!$A:$H,8,0)</f>
        <v>167375</v>
      </c>
      <c r="I201" s="3">
        <f t="shared" si="7"/>
        <v>167375</v>
      </c>
      <c r="J201" s="3" t="str">
        <f>VLOOKUP(A201,'[3]Stock actif'!$A:$K,10,0)</f>
        <v>Oui</v>
      </c>
      <c r="K201" s="3" t="str">
        <f>VLOOKUP(A201,'[3]Stock actif'!$A:$K,11,0)</f>
        <v>Alcatel-Lucent</v>
      </c>
    </row>
    <row r="202" spans="1:11" x14ac:dyDescent="0.35">
      <c r="A202" s="3">
        <v>2701</v>
      </c>
      <c r="B202" s="3" t="s">
        <v>208</v>
      </c>
      <c r="C202" s="3" t="s">
        <v>4</v>
      </c>
      <c r="D202" s="3" t="s">
        <v>120</v>
      </c>
      <c r="E202" s="3">
        <f>VLOOKUP(A202,[1]fnd_gfm_43298102!$B:$F,5,0)</f>
        <v>69</v>
      </c>
      <c r="F202" s="3">
        <f>VLOOKUP(A202,[4]fnd_gfm_43298103!$B:$F,5,0)</f>
        <v>78</v>
      </c>
      <c r="G202" s="3">
        <f t="shared" si="6"/>
        <v>147</v>
      </c>
      <c r="H202" s="3">
        <f>VLOOKUP(A202,'[2]CUMP Articles'!$A:$H,8,0)</f>
        <v>889.23195876288605</v>
      </c>
      <c r="I202" s="3">
        <f t="shared" si="7"/>
        <v>130717.09793814424</v>
      </c>
      <c r="J202" s="3" t="str">
        <f>VLOOKUP(A202,'[3]Stock actif'!$A:$K,10,0)</f>
        <v>Non</v>
      </c>
      <c r="K202" s="3" t="str">
        <f>VLOOKUP(A202,'[3]Stock actif'!$A:$K,11,0)</f>
        <v>Générique</v>
      </c>
    </row>
    <row r="203" spans="1:11" x14ac:dyDescent="0.35">
      <c r="A203" s="3">
        <v>2702</v>
      </c>
      <c r="B203" s="3" t="s">
        <v>209</v>
      </c>
      <c r="C203" s="3" t="s">
        <v>4</v>
      </c>
      <c r="D203" s="3" t="s">
        <v>120</v>
      </c>
      <c r="E203" s="3"/>
      <c r="F203" s="3">
        <f>VLOOKUP(A203,[4]fnd_gfm_43298103!$B:$F,5,0)</f>
        <v>1300</v>
      </c>
      <c r="G203" s="3">
        <f t="shared" si="6"/>
        <v>1300</v>
      </c>
      <c r="H203" s="3">
        <f>VLOOKUP(A203,'[2]CUMP Articles'!$A:$H,8,0)</f>
        <v>3</v>
      </c>
      <c r="I203" s="3">
        <f t="shared" si="7"/>
        <v>3900</v>
      </c>
      <c r="J203" s="3" t="str">
        <f>VLOOKUP(A203,'[3]Stock actif'!$A:$K,10,0)</f>
        <v>Oui</v>
      </c>
      <c r="K203" s="3" t="str">
        <f>VLOOKUP(A203,'[3]Stock actif'!$A:$K,11,0)</f>
        <v>Générique</v>
      </c>
    </row>
    <row r="204" spans="1:11" x14ac:dyDescent="0.35">
      <c r="A204" s="3">
        <v>2706</v>
      </c>
      <c r="B204" s="3" t="s">
        <v>210</v>
      </c>
      <c r="C204" s="3" t="s">
        <v>4</v>
      </c>
      <c r="D204" s="3" t="s">
        <v>120</v>
      </c>
      <c r="E204" s="3">
        <f>VLOOKUP(A204,[1]fnd_gfm_43298102!$B:$F,5,0)</f>
        <v>96</v>
      </c>
      <c r="F204" s="3"/>
      <c r="G204" s="3">
        <f t="shared" si="6"/>
        <v>96</v>
      </c>
      <c r="H204" s="3">
        <f>VLOOKUP(A204,'[2]CUMP Articles'!$A:$H,8,0)</f>
        <v>475</v>
      </c>
      <c r="I204" s="3">
        <f t="shared" si="7"/>
        <v>45600</v>
      </c>
      <c r="J204" s="3" t="str">
        <f>VLOOKUP(A204,'[3]Stock actif'!$A:$K,10,0)</f>
        <v>Non</v>
      </c>
      <c r="K204" s="3" t="str">
        <f>VLOOKUP(A204,'[3]Stock actif'!$A:$K,11,0)</f>
        <v>Générique</v>
      </c>
    </row>
    <row r="205" spans="1:11" x14ac:dyDescent="0.35">
      <c r="A205" s="3">
        <v>2718</v>
      </c>
      <c r="B205" s="3" t="s">
        <v>211</v>
      </c>
      <c r="C205" s="3" t="s">
        <v>4</v>
      </c>
      <c r="D205" s="3" t="s">
        <v>120</v>
      </c>
      <c r="E205" s="3"/>
      <c r="F205" s="3">
        <f>VLOOKUP(A205,[4]fnd_gfm_43298103!$B:$F,5,0)</f>
        <v>241</v>
      </c>
      <c r="G205" s="3">
        <f t="shared" si="6"/>
        <v>241</v>
      </c>
      <c r="H205" s="3">
        <f>VLOOKUP(A205,'[2]CUMP Articles'!$A:$H,8,0)</f>
        <v>1200</v>
      </c>
      <c r="I205" s="3">
        <f t="shared" si="7"/>
        <v>289200</v>
      </c>
      <c r="J205" s="3" t="str">
        <f>VLOOKUP(A205,'[3]Stock actif'!$A:$K,10,0)</f>
        <v>Non</v>
      </c>
      <c r="K205" s="3" t="str">
        <f>VLOOKUP(A205,'[3]Stock actif'!$A:$K,11,0)</f>
        <v>Local</v>
      </c>
    </row>
    <row r="206" spans="1:11" x14ac:dyDescent="0.35">
      <c r="A206" s="3">
        <v>2722</v>
      </c>
      <c r="B206" s="3" t="s">
        <v>212</v>
      </c>
      <c r="C206" s="3" t="s">
        <v>4</v>
      </c>
      <c r="D206" s="3" t="s">
        <v>120</v>
      </c>
      <c r="E206" s="3"/>
      <c r="F206" s="3">
        <f>VLOOKUP(A206,[4]fnd_gfm_43298103!$B:$F,5,0)</f>
        <v>96</v>
      </c>
      <c r="G206" s="3">
        <f t="shared" si="6"/>
        <v>96</v>
      </c>
      <c r="H206" s="3">
        <f>VLOOKUP(A206,'[2]CUMP Articles'!$A:$H,8,0)</f>
        <v>41128.503900000003</v>
      </c>
      <c r="I206" s="3">
        <f t="shared" si="7"/>
        <v>3948336.3744000001</v>
      </c>
      <c r="J206" s="3" t="str">
        <f>VLOOKUP(A206,'[3]Stock actif'!$A:$K,10,0)</f>
        <v>Oui</v>
      </c>
      <c r="K206" s="3" t="str">
        <f>VLOOKUP(A206,'[3]Stock actif'!$A:$K,11,0)</f>
        <v>Alcatel-Lucent</v>
      </c>
    </row>
    <row r="207" spans="1:11" x14ac:dyDescent="0.35">
      <c r="A207" s="3">
        <v>2848</v>
      </c>
      <c r="B207" s="3" t="s">
        <v>213</v>
      </c>
      <c r="C207" s="3" t="s">
        <v>4</v>
      </c>
      <c r="D207" s="3" t="s">
        <v>120</v>
      </c>
      <c r="E207" s="3">
        <f>VLOOKUP(A207,[1]fnd_gfm_43298102!$B:$F,5,0)</f>
        <v>2</v>
      </c>
      <c r="F207" s="3">
        <f>VLOOKUP(A207,[4]fnd_gfm_43298103!$B:$F,5,0)</f>
        <v>2</v>
      </c>
      <c r="G207" s="3">
        <f t="shared" si="6"/>
        <v>4</v>
      </c>
      <c r="H207" s="3">
        <f>VLOOKUP(A207,'[2]CUMP Articles'!$A:$H,8,0)</f>
        <v>7353</v>
      </c>
      <c r="I207" s="3">
        <f t="shared" si="7"/>
        <v>29412</v>
      </c>
      <c r="J207" s="3" t="str">
        <f>VLOOKUP(A207,'[3]Stock actif'!$A:$K,10,0)</f>
        <v>Oui</v>
      </c>
      <c r="K207" s="3" t="str">
        <f>VLOOKUP(A207,'[3]Stock actif'!$A:$K,11,0)</f>
        <v>Nexans</v>
      </c>
    </row>
    <row r="208" spans="1:11" x14ac:dyDescent="0.35">
      <c r="A208" s="3">
        <v>2853</v>
      </c>
      <c r="B208" s="3" t="s">
        <v>214</v>
      </c>
      <c r="C208" s="3" t="s">
        <v>4</v>
      </c>
      <c r="D208" s="3" t="s">
        <v>120</v>
      </c>
      <c r="E208" s="3"/>
      <c r="F208" s="3">
        <f>VLOOKUP(A208,[4]fnd_gfm_43298103!$B:$F,5,0)</f>
        <v>3</v>
      </c>
      <c r="G208" s="3">
        <f t="shared" si="6"/>
        <v>3</v>
      </c>
      <c r="H208" s="3">
        <f>VLOOKUP(A208,'[2]CUMP Articles'!$A:$H,8,0)</f>
        <v>124369</v>
      </c>
      <c r="I208" s="3">
        <f t="shared" si="7"/>
        <v>373107</v>
      </c>
      <c r="J208" s="3" t="str">
        <f>VLOOKUP(A208,'[3]Stock actif'!$A:$K,10,0)</f>
        <v>Oui</v>
      </c>
      <c r="K208" s="3" t="str">
        <f>VLOOKUP(A208,'[3]Stock actif'!$A:$K,11,0)</f>
        <v>Cisco</v>
      </c>
    </row>
    <row r="209" spans="1:11" x14ac:dyDescent="0.35">
      <c r="A209" s="3">
        <v>2855</v>
      </c>
      <c r="B209" s="3" t="s">
        <v>215</v>
      </c>
      <c r="C209" s="3" t="s">
        <v>4</v>
      </c>
      <c r="D209" s="3" t="s">
        <v>120</v>
      </c>
      <c r="E209" s="3">
        <f>VLOOKUP(A209,[1]fnd_gfm_43298102!$B:$F,5,0)</f>
        <v>1</v>
      </c>
      <c r="F209" s="3">
        <f>VLOOKUP(A209,[4]fnd_gfm_43298103!$B:$F,5,0)</f>
        <v>1</v>
      </c>
      <c r="G209" s="3">
        <f t="shared" si="6"/>
        <v>2</v>
      </c>
      <c r="H209" s="3">
        <f>VLOOKUP(A209,'[2]CUMP Articles'!$A:$H,8,0)</f>
        <v>46901</v>
      </c>
      <c r="I209" s="3">
        <f t="shared" si="7"/>
        <v>93802</v>
      </c>
      <c r="J209" s="3" t="str">
        <f>VLOOKUP(A209,'[3]Stock actif'!$A:$K,10,0)</f>
        <v>Oui</v>
      </c>
      <c r="K209" s="3" t="str">
        <f>VLOOKUP(A209,'[3]Stock actif'!$A:$K,11,0)</f>
        <v>Alcatel-Lucent</v>
      </c>
    </row>
    <row r="210" spans="1:11" x14ac:dyDescent="0.35">
      <c r="A210" s="3">
        <v>2860</v>
      </c>
      <c r="B210" s="3" t="s">
        <v>216</v>
      </c>
      <c r="C210" s="3" t="s">
        <v>4</v>
      </c>
      <c r="D210" s="3" t="s">
        <v>120</v>
      </c>
      <c r="E210" s="3"/>
      <c r="F210" s="3">
        <f>VLOOKUP(A210,[4]fnd_gfm_43298103!$B:$F,5,0)</f>
        <v>50</v>
      </c>
      <c r="G210" s="3">
        <f t="shared" si="6"/>
        <v>50</v>
      </c>
      <c r="H210" s="3">
        <f>VLOOKUP(A210,'[2]CUMP Articles'!$A:$H,8,0)</f>
        <v>2500</v>
      </c>
      <c r="I210" s="3">
        <f t="shared" si="7"/>
        <v>125000</v>
      </c>
      <c r="J210" s="3" t="str">
        <f>VLOOKUP(A210,'[3]Stock actif'!$A:$K,10,0)</f>
        <v>Non</v>
      </c>
      <c r="K210" s="3" t="str">
        <f>VLOOKUP(A210,'[3]Stock actif'!$A:$K,11,0)</f>
        <v>Générique</v>
      </c>
    </row>
    <row r="211" spans="1:11" x14ac:dyDescent="0.35">
      <c r="A211" s="3">
        <v>2862</v>
      </c>
      <c r="B211" s="3" t="s">
        <v>217</v>
      </c>
      <c r="C211" s="3" t="s">
        <v>4</v>
      </c>
      <c r="D211" s="3" t="s">
        <v>120</v>
      </c>
      <c r="E211" s="3"/>
      <c r="F211" s="3">
        <f>VLOOKUP(A211,[4]fnd_gfm_43298103!$B:$F,5,0)</f>
        <v>1</v>
      </c>
      <c r="G211" s="3">
        <f t="shared" si="6"/>
        <v>1</v>
      </c>
      <c r="H211" s="3">
        <f>VLOOKUP(A211,'[2]CUMP Articles'!$A:$H,8,0)</f>
        <v>251404</v>
      </c>
      <c r="I211" s="3">
        <f t="shared" si="7"/>
        <v>251404</v>
      </c>
      <c r="J211" s="3" t="str">
        <f>VLOOKUP(A211,'[3]Stock actif'!$A:$K,10,0)</f>
        <v>Oui</v>
      </c>
      <c r="K211" s="3" t="str">
        <f>VLOOKUP(A211,'[3]Stock actif'!$A:$K,11,0)</f>
        <v>Alcatel-Lucent</v>
      </c>
    </row>
    <row r="212" spans="1:11" x14ac:dyDescent="0.35">
      <c r="A212" s="3">
        <v>2864</v>
      </c>
      <c r="B212" s="3" t="s">
        <v>218</v>
      </c>
      <c r="C212" s="3" t="s">
        <v>4</v>
      </c>
      <c r="D212" s="3" t="s">
        <v>120</v>
      </c>
      <c r="E212" s="3"/>
      <c r="F212" s="3">
        <f>VLOOKUP(A212,[4]fnd_gfm_43298103!$B:$F,5,0)</f>
        <v>12</v>
      </c>
      <c r="G212" s="3">
        <f t="shared" si="6"/>
        <v>12</v>
      </c>
      <c r="H212" s="3">
        <f>VLOOKUP(A212,'[2]CUMP Articles'!$A:$H,8,0)</f>
        <v>737498.91144166596</v>
      </c>
      <c r="I212" s="3">
        <f t="shared" si="7"/>
        <v>8849986.937299991</v>
      </c>
      <c r="J212" s="3" t="str">
        <f>VLOOKUP(A212,'[3]Stock actif'!$A:$K,10,0)</f>
        <v>Oui</v>
      </c>
      <c r="K212" s="3" t="str">
        <f>VLOOKUP(A212,'[3]Stock actif'!$A:$K,11,0)</f>
        <v>Alcatel-Lucent</v>
      </c>
    </row>
    <row r="213" spans="1:11" x14ac:dyDescent="0.35">
      <c r="A213" s="3">
        <v>2865</v>
      </c>
      <c r="B213" s="3" t="s">
        <v>219</v>
      </c>
      <c r="C213" s="3" t="s">
        <v>4</v>
      </c>
      <c r="D213" s="3" t="s">
        <v>120</v>
      </c>
      <c r="E213" s="3">
        <f>VLOOKUP(A213,[1]fnd_gfm_43298102!$B:$F,5,0)</f>
        <v>22</v>
      </c>
      <c r="F213" s="3"/>
      <c r="G213" s="3">
        <f t="shared" si="6"/>
        <v>22</v>
      </c>
      <c r="H213" s="3">
        <f>VLOOKUP(A213,'[2]CUMP Articles'!$A:$H,8,0)</f>
        <v>4591.6989999999996</v>
      </c>
      <c r="I213" s="3">
        <f t="shared" si="7"/>
        <v>101017.378</v>
      </c>
      <c r="J213" s="3" t="str">
        <f>VLOOKUP(A213,'[3]Stock actif'!$A:$K,10,0)</f>
        <v>Oui</v>
      </c>
      <c r="K213" s="3" t="str">
        <f>VLOOKUP(A213,'[3]Stock actif'!$A:$K,11,0)</f>
        <v>Alcatel-Lucent</v>
      </c>
    </row>
    <row r="214" spans="1:11" x14ac:dyDescent="0.35">
      <c r="A214" s="3">
        <v>2876</v>
      </c>
      <c r="B214" s="3" t="s">
        <v>220</v>
      </c>
      <c r="C214" s="3" t="s">
        <v>4</v>
      </c>
      <c r="D214" s="3" t="s">
        <v>120</v>
      </c>
      <c r="E214" s="3"/>
      <c r="F214" s="3">
        <f>VLOOKUP(A214,[4]fnd_gfm_43298103!$B:$F,5,0)</f>
        <v>238</v>
      </c>
      <c r="G214" s="3">
        <f t="shared" si="6"/>
        <v>238</v>
      </c>
      <c r="H214" s="3">
        <f>VLOOKUP(A214,'[2]CUMP Articles'!$A:$H,8,0)</f>
        <v>510.44499999999999</v>
      </c>
      <c r="I214" s="3">
        <f t="shared" si="7"/>
        <v>121485.91</v>
      </c>
      <c r="J214" s="3" t="str">
        <f>VLOOKUP(A214,'[3]Stock actif'!$A:$K,10,0)</f>
        <v>Oui</v>
      </c>
      <c r="K214" s="3" t="str">
        <f>VLOOKUP(A214,'[3]Stock actif'!$A:$K,11,0)</f>
        <v>Nexans</v>
      </c>
    </row>
    <row r="215" spans="1:11" x14ac:dyDescent="0.35">
      <c r="A215" s="3">
        <v>2891</v>
      </c>
      <c r="B215" s="3" t="s">
        <v>221</v>
      </c>
      <c r="C215" s="3" t="s">
        <v>4</v>
      </c>
      <c r="D215" s="3" t="s">
        <v>120</v>
      </c>
      <c r="E215" s="3">
        <f>VLOOKUP(A215,[1]fnd_gfm_43298102!$B:$F,5,0)</f>
        <v>4</v>
      </c>
      <c r="F215" s="3"/>
      <c r="G215" s="3">
        <f t="shared" si="6"/>
        <v>4</v>
      </c>
      <c r="H215" s="3">
        <f>VLOOKUP(A215,'[2]CUMP Articles'!$A:$H,8,0)</f>
        <v>63777.5</v>
      </c>
      <c r="I215" s="3">
        <f t="shared" si="7"/>
        <v>255110</v>
      </c>
      <c r="J215" s="3" t="str">
        <f>VLOOKUP(A215,'[3]Stock actif'!$A:$K,10,0)</f>
        <v>Non</v>
      </c>
      <c r="K215" s="3" t="str">
        <f>VLOOKUP(A215,'[3]Stock actif'!$A:$K,11,0)</f>
        <v>Générique</v>
      </c>
    </row>
    <row r="216" spans="1:11" x14ac:dyDescent="0.35">
      <c r="A216" s="3">
        <v>2892</v>
      </c>
      <c r="B216" s="3" t="s">
        <v>35</v>
      </c>
      <c r="C216" s="3" t="s">
        <v>4</v>
      </c>
      <c r="D216" s="3" t="s">
        <v>120</v>
      </c>
      <c r="E216" s="3">
        <f>VLOOKUP(A216,[1]fnd_gfm_43298102!$B:$F,5,0)</f>
        <v>6</v>
      </c>
      <c r="F216" s="3"/>
      <c r="G216" s="3">
        <f t="shared" si="6"/>
        <v>6</v>
      </c>
      <c r="H216" s="3">
        <f>VLOOKUP(A216,'[2]CUMP Articles'!$A:$H,8,0)</f>
        <v>11425.2284596021</v>
      </c>
      <c r="I216" s="3">
        <f t="shared" si="7"/>
        <v>68551.370757612603</v>
      </c>
      <c r="J216" s="3" t="str">
        <f>VLOOKUP(A216,'[3]Stock actif'!$A:$K,10,0)</f>
        <v>Oui</v>
      </c>
      <c r="K216" s="3" t="str">
        <f>VLOOKUP(A216,'[3]Stock actif'!$A:$K,11,0)</f>
        <v>Cisco</v>
      </c>
    </row>
    <row r="217" spans="1:11" x14ac:dyDescent="0.35">
      <c r="A217" s="3">
        <v>2895</v>
      </c>
      <c r="B217" s="3" t="s">
        <v>222</v>
      </c>
      <c r="C217" s="3" t="s">
        <v>4</v>
      </c>
      <c r="D217" s="3" t="s">
        <v>120</v>
      </c>
      <c r="E217" s="3">
        <f>VLOOKUP(A217,[1]fnd_gfm_43298102!$B:$F,5,0)</f>
        <v>2400</v>
      </c>
      <c r="F217" s="3"/>
      <c r="G217" s="3">
        <f t="shared" si="6"/>
        <v>2400</v>
      </c>
      <c r="H217" s="3">
        <f>VLOOKUP(A217,'[2]CUMP Articles'!$A:$H,8,0)</f>
        <v>30.836964014782598</v>
      </c>
      <c r="I217" s="3">
        <f t="shared" si="7"/>
        <v>74008.713635478241</v>
      </c>
      <c r="J217" s="3" t="str">
        <f>VLOOKUP(A217,'[3]Stock actif'!$A:$K,10,0)</f>
        <v>Non</v>
      </c>
      <c r="K217" s="3" t="str">
        <f>VLOOKUP(A217,'[3]Stock actif'!$A:$K,11,0)</f>
        <v>Générique</v>
      </c>
    </row>
    <row r="218" spans="1:11" x14ac:dyDescent="0.35">
      <c r="A218" s="3">
        <v>2896</v>
      </c>
      <c r="B218" s="3" t="s">
        <v>223</v>
      </c>
      <c r="C218" s="3" t="s">
        <v>4</v>
      </c>
      <c r="D218" s="3" t="s">
        <v>120</v>
      </c>
      <c r="E218" s="3">
        <f>VLOOKUP(A218,[1]fnd_gfm_43298102!$B:$F,5,0)</f>
        <v>2600</v>
      </c>
      <c r="F218" s="3">
        <f>VLOOKUP(A218,[4]fnd_gfm_43298103!$B:$F,5,0)</f>
        <v>46</v>
      </c>
      <c r="G218" s="3">
        <f t="shared" si="6"/>
        <v>2646</v>
      </c>
      <c r="H218" s="3">
        <f>VLOOKUP(A218,'[2]CUMP Articles'!$A:$H,8,0)</f>
        <v>32.720345640219897</v>
      </c>
      <c r="I218" s="3">
        <f t="shared" si="7"/>
        <v>86578.034564021844</v>
      </c>
      <c r="J218" s="3" t="str">
        <f>VLOOKUP(A218,'[3]Stock actif'!$A:$K,10,0)</f>
        <v>Non</v>
      </c>
      <c r="K218" s="3" t="str">
        <f>VLOOKUP(A218,'[3]Stock actif'!$A:$K,11,0)</f>
        <v>Générique</v>
      </c>
    </row>
    <row r="219" spans="1:11" x14ac:dyDescent="0.35">
      <c r="A219" s="3">
        <v>2898</v>
      </c>
      <c r="B219" s="3" t="s">
        <v>224</v>
      </c>
      <c r="C219" s="3" t="s">
        <v>4</v>
      </c>
      <c r="D219" s="3" t="s">
        <v>120</v>
      </c>
      <c r="E219" s="3">
        <f>VLOOKUP(A219,[1]fnd_gfm_43298102!$B:$F,5,0)</f>
        <v>3</v>
      </c>
      <c r="F219" s="3"/>
      <c r="G219" s="3">
        <f t="shared" si="6"/>
        <v>3</v>
      </c>
      <c r="H219" s="3">
        <f>VLOOKUP(A219,'[2]CUMP Articles'!$A:$H,8,0)</f>
        <v>28500</v>
      </c>
      <c r="I219" s="3">
        <f t="shared" si="7"/>
        <v>85500</v>
      </c>
      <c r="J219" s="3" t="str">
        <f>VLOOKUP(A219,'[3]Stock actif'!$A:$K,10,0)</f>
        <v>Non</v>
      </c>
      <c r="K219" s="3" t="str">
        <f>VLOOKUP(A219,'[3]Stock actif'!$A:$K,11,0)</f>
        <v>Générique</v>
      </c>
    </row>
    <row r="220" spans="1:11" x14ac:dyDescent="0.35">
      <c r="A220" s="3">
        <v>2899</v>
      </c>
      <c r="B220" s="3" t="s">
        <v>225</v>
      </c>
      <c r="C220" s="3" t="s">
        <v>4</v>
      </c>
      <c r="D220" s="3" t="s">
        <v>120</v>
      </c>
      <c r="E220" s="3">
        <f>VLOOKUP(A220,[1]fnd_gfm_43298102!$B:$F,5,0)</f>
        <v>112</v>
      </c>
      <c r="F220" s="3"/>
      <c r="G220" s="3">
        <f t="shared" si="6"/>
        <v>112</v>
      </c>
      <c r="H220" s="3">
        <f>VLOOKUP(A220,'[2]CUMP Articles'!$A:$H,8,0)</f>
        <v>450</v>
      </c>
      <c r="I220" s="3">
        <f t="shared" si="7"/>
        <v>50400</v>
      </c>
      <c r="J220" s="3" t="str">
        <f>VLOOKUP(A220,'[3]Stock actif'!$A:$K,10,0)</f>
        <v>Non</v>
      </c>
      <c r="K220" s="3" t="str">
        <f>VLOOKUP(A220,'[3]Stock actif'!$A:$K,11,0)</f>
        <v>Générique</v>
      </c>
    </row>
    <row r="221" spans="1:11" x14ac:dyDescent="0.35">
      <c r="A221" s="3">
        <v>2906</v>
      </c>
      <c r="B221" s="3" t="s">
        <v>226</v>
      </c>
      <c r="C221" s="3" t="s">
        <v>4</v>
      </c>
      <c r="D221" s="3" t="s">
        <v>120</v>
      </c>
      <c r="E221" s="3"/>
      <c r="F221" s="3">
        <f>VLOOKUP(A221,[4]fnd_gfm_43298103!$B:$F,5,0)</f>
        <v>380</v>
      </c>
      <c r="G221" s="3">
        <f t="shared" si="6"/>
        <v>380</v>
      </c>
      <c r="H221" s="3">
        <f>VLOOKUP(A221,'[2]CUMP Articles'!$A:$H,8,0)</f>
        <v>867</v>
      </c>
      <c r="I221" s="3">
        <f t="shared" si="7"/>
        <v>329460</v>
      </c>
      <c r="J221" s="3" t="str">
        <f>VLOOKUP(A221,'[3]Stock actif'!$A:$K,10,0)</f>
        <v>Oui</v>
      </c>
      <c r="K221" s="3" t="str">
        <f>VLOOKUP(A221,'[3]Stock actif'!$A:$K,11,0)</f>
        <v>Nexans</v>
      </c>
    </row>
    <row r="222" spans="1:11" x14ac:dyDescent="0.35">
      <c r="A222" s="3">
        <v>2909</v>
      </c>
      <c r="B222" s="3" t="s">
        <v>227</v>
      </c>
      <c r="C222" s="3" t="s">
        <v>4</v>
      </c>
      <c r="D222" s="3" t="s">
        <v>120</v>
      </c>
      <c r="E222" s="3">
        <f>VLOOKUP(A222,[1]fnd_gfm_43298102!$B:$F,5,0)</f>
        <v>3</v>
      </c>
      <c r="F222" s="3">
        <f>VLOOKUP(A222,[4]fnd_gfm_43298103!$B:$F,5,0)</f>
        <v>5</v>
      </c>
      <c r="G222" s="3">
        <f t="shared" si="6"/>
        <v>8</v>
      </c>
      <c r="H222" s="3">
        <f>VLOOKUP(A222,'[2]CUMP Articles'!$A:$H,8,0)</f>
        <v>108000</v>
      </c>
      <c r="I222" s="3">
        <f t="shared" si="7"/>
        <v>864000</v>
      </c>
      <c r="J222" s="3" t="str">
        <f>VLOOKUP(A222,'[3]Stock actif'!$A:$K,10,0)</f>
        <v>non</v>
      </c>
      <c r="K222" s="3" t="str">
        <f>VLOOKUP(A222,'[3]Stock actif'!$A:$K,11,0)</f>
        <v>Générique</v>
      </c>
    </row>
    <row r="223" spans="1:11" x14ac:dyDescent="0.35">
      <c r="A223" s="3">
        <v>2915</v>
      </c>
      <c r="B223" s="3" t="s">
        <v>228</v>
      </c>
      <c r="C223" s="3" t="s">
        <v>4</v>
      </c>
      <c r="D223" s="3" t="s">
        <v>120</v>
      </c>
      <c r="E223" s="3">
        <f>VLOOKUP(A223,[1]fnd_gfm_43298102!$B:$F,5,0)</f>
        <v>5</v>
      </c>
      <c r="F223" s="3"/>
      <c r="G223" s="3">
        <f t="shared" si="6"/>
        <v>5</v>
      </c>
      <c r="H223" s="3">
        <f>VLOOKUP(A223,'[2]CUMP Articles'!$A:$H,8,0)</f>
        <v>18461</v>
      </c>
      <c r="I223" s="3">
        <f t="shared" si="7"/>
        <v>92305</v>
      </c>
      <c r="J223" s="3" t="str">
        <f>VLOOKUP(A223,'[3]Stock actif'!$A:$K,10,0)</f>
        <v>Non</v>
      </c>
      <c r="K223" s="3" t="str">
        <f>VLOOKUP(A223,'[3]Stock actif'!$A:$K,11,0)</f>
        <v>Générique</v>
      </c>
    </row>
    <row r="224" spans="1:11" x14ac:dyDescent="0.35">
      <c r="A224" s="3">
        <v>2921</v>
      </c>
      <c r="B224" s="3" t="s">
        <v>229</v>
      </c>
      <c r="C224" s="3" t="s">
        <v>4</v>
      </c>
      <c r="D224" s="3" t="s">
        <v>120</v>
      </c>
      <c r="E224" s="3"/>
      <c r="F224" s="3">
        <f>VLOOKUP(A224,[4]fnd_gfm_43298103!$B:$F,5,0)</f>
        <v>4</v>
      </c>
      <c r="G224" s="3">
        <f t="shared" si="6"/>
        <v>4</v>
      </c>
      <c r="H224" s="3">
        <f>VLOOKUP(A224,'[2]CUMP Articles'!$A:$H,8,0)</f>
        <v>185762.714285714</v>
      </c>
      <c r="I224" s="3">
        <f t="shared" si="7"/>
        <v>743050.857142856</v>
      </c>
      <c r="J224" s="3" t="str">
        <f>VLOOKUP(A224,'[3]Stock actif'!$A:$K,10,0)</f>
        <v>Non</v>
      </c>
      <c r="K224" s="3" t="str">
        <f>VLOOKUP(A224,'[3]Stock actif'!$A:$K,11,0)</f>
        <v>Générique</v>
      </c>
    </row>
    <row r="225" spans="1:11" x14ac:dyDescent="0.35">
      <c r="A225" s="3">
        <v>2924</v>
      </c>
      <c r="B225" s="3" t="s">
        <v>230</v>
      </c>
      <c r="C225" s="3" t="s">
        <v>4</v>
      </c>
      <c r="D225" s="3" t="s">
        <v>120</v>
      </c>
      <c r="E225" s="3">
        <f>VLOOKUP(A225,[1]fnd_gfm_43298102!$B:$F,5,0)</f>
        <v>1</v>
      </c>
      <c r="F225" s="3"/>
      <c r="G225" s="3">
        <f t="shared" si="6"/>
        <v>1</v>
      </c>
      <c r="H225" s="3">
        <f>VLOOKUP(A225,'[2]CUMP Articles'!$A:$H,8,0)</f>
        <v>1000</v>
      </c>
      <c r="I225" s="3">
        <f t="shared" si="7"/>
        <v>1000</v>
      </c>
      <c r="J225" s="3" t="str">
        <f>VLOOKUP(A225,'[3]Stock actif'!$A:$K,10,0)</f>
        <v>Non</v>
      </c>
      <c r="K225" s="3" t="str">
        <f>VLOOKUP(A225,'[3]Stock actif'!$A:$K,11,0)</f>
        <v>Générique</v>
      </c>
    </row>
    <row r="226" spans="1:11" x14ac:dyDescent="0.35">
      <c r="A226" s="3">
        <v>2925</v>
      </c>
      <c r="B226" s="3" t="s">
        <v>231</v>
      </c>
      <c r="C226" s="3" t="s">
        <v>4</v>
      </c>
      <c r="D226" s="3" t="s">
        <v>120</v>
      </c>
      <c r="E226" s="3"/>
      <c r="F226" s="3">
        <f>VLOOKUP(A226,[4]fnd_gfm_43298103!$B:$F,5,0)</f>
        <v>1</v>
      </c>
      <c r="G226" s="3">
        <f t="shared" si="6"/>
        <v>1</v>
      </c>
      <c r="H226" s="3">
        <f>VLOOKUP(A226,'[2]CUMP Articles'!$A:$H,8,0)</f>
        <v>161831</v>
      </c>
      <c r="I226" s="3">
        <f t="shared" si="7"/>
        <v>161831</v>
      </c>
      <c r="J226" s="3" t="str">
        <f>VLOOKUP(A226,'[3]Stock actif'!$A:$K,10,0)</f>
        <v>Oui</v>
      </c>
      <c r="K226" s="3" t="str">
        <f>VLOOKUP(A226,'[3]Stock actif'!$A:$K,11,0)</f>
        <v>Cisco</v>
      </c>
    </row>
    <row r="227" spans="1:11" x14ac:dyDescent="0.35">
      <c r="A227" s="3">
        <v>2931</v>
      </c>
      <c r="B227" s="3" t="s">
        <v>232</v>
      </c>
      <c r="C227" s="3" t="s">
        <v>4</v>
      </c>
      <c r="D227" s="3" t="s">
        <v>120</v>
      </c>
      <c r="E227" s="3"/>
      <c r="F227" s="3">
        <f>VLOOKUP(A227,[4]fnd_gfm_43298103!$B:$F,5,0)</f>
        <v>35</v>
      </c>
      <c r="G227" s="3">
        <f t="shared" si="6"/>
        <v>35</v>
      </c>
      <c r="H227" s="3">
        <f>VLOOKUP(A227,'[2]CUMP Articles'!$A:$H,8,0)</f>
        <v>396</v>
      </c>
      <c r="I227" s="3">
        <f t="shared" si="7"/>
        <v>13860</v>
      </c>
      <c r="J227" s="3" t="str">
        <f>VLOOKUP(A227,'[3]Stock actif'!$A:$K,10,0)</f>
        <v>Oui</v>
      </c>
      <c r="K227" s="3" t="str">
        <f>VLOOKUP(A227,'[3]Stock actif'!$A:$K,11,0)</f>
        <v>Nexans</v>
      </c>
    </row>
    <row r="228" spans="1:11" x14ac:dyDescent="0.35">
      <c r="A228" s="3">
        <v>2935</v>
      </c>
      <c r="B228" s="3" t="s">
        <v>233</v>
      </c>
      <c r="C228" s="3" t="s">
        <v>4</v>
      </c>
      <c r="D228" s="3" t="s">
        <v>120</v>
      </c>
      <c r="E228" s="3">
        <f>VLOOKUP(A228,[1]fnd_gfm_43298102!$B:$F,5,0)</f>
        <v>18</v>
      </c>
      <c r="F228" s="3"/>
      <c r="G228" s="3">
        <f t="shared" si="6"/>
        <v>18</v>
      </c>
      <c r="H228" s="3">
        <f>VLOOKUP(A228,'[2]CUMP Articles'!$A:$H,8,0)</f>
        <v>2002</v>
      </c>
      <c r="I228" s="3">
        <f t="shared" si="7"/>
        <v>36036</v>
      </c>
      <c r="J228" s="3" t="str">
        <f>VLOOKUP(A228,'[3]Stock actif'!$A:$K,10,0)</f>
        <v>Oui</v>
      </c>
      <c r="K228" s="3" t="str">
        <f>VLOOKUP(A228,'[3]Stock actif'!$A:$K,11,0)</f>
        <v>Nexans</v>
      </c>
    </row>
    <row r="229" spans="1:11" x14ac:dyDescent="0.35">
      <c r="A229" s="3">
        <v>2939</v>
      </c>
      <c r="B229" s="3" t="s">
        <v>234</v>
      </c>
      <c r="C229" s="3" t="s">
        <v>4</v>
      </c>
      <c r="D229" s="3" t="s">
        <v>120</v>
      </c>
      <c r="E229" s="3">
        <f>VLOOKUP(A229,[1]fnd_gfm_43298102!$B:$F,5,0)</f>
        <v>91</v>
      </c>
      <c r="F229" s="3">
        <f>VLOOKUP(A229,[4]fnd_gfm_43298103!$B:$F,5,0)</f>
        <v>27</v>
      </c>
      <c r="G229" s="3">
        <f t="shared" si="6"/>
        <v>118</v>
      </c>
      <c r="H229" s="3">
        <f>VLOOKUP(A229,'[2]CUMP Articles'!$A:$H,8,0)</f>
        <v>15000</v>
      </c>
      <c r="I229" s="3">
        <f t="shared" si="7"/>
        <v>1770000</v>
      </c>
      <c r="J229" s="3" t="str">
        <f>VLOOKUP(A229,'[3]Stock actif'!$A:$K,10,0)</f>
        <v>Non</v>
      </c>
      <c r="K229" s="3" t="str">
        <f>VLOOKUP(A229,'[3]Stock actif'!$A:$K,11,0)</f>
        <v>Générique</v>
      </c>
    </row>
    <row r="230" spans="1:11" x14ac:dyDescent="0.35">
      <c r="A230" s="3">
        <v>2950</v>
      </c>
      <c r="B230" s="3" t="s">
        <v>235</v>
      </c>
      <c r="C230" s="3" t="s">
        <v>4</v>
      </c>
      <c r="D230" s="3" t="s">
        <v>120</v>
      </c>
      <c r="E230" s="3"/>
      <c r="F230" s="3">
        <f>VLOOKUP(A230,[4]fnd_gfm_43298103!$B:$F,5,0)</f>
        <v>19</v>
      </c>
      <c r="G230" s="3">
        <f t="shared" si="6"/>
        <v>19</v>
      </c>
      <c r="H230" s="3">
        <f>VLOOKUP(A230,'[2]CUMP Articles'!$A:$H,8,0)</f>
        <v>404200.7034</v>
      </c>
      <c r="I230" s="3">
        <f t="shared" si="7"/>
        <v>7679813.3646</v>
      </c>
      <c r="J230" s="3" t="str">
        <f>VLOOKUP(A230,'[3]Stock actif'!$A:$K,10,0)</f>
        <v>Oui</v>
      </c>
      <c r="K230" s="3" t="str">
        <f>VLOOKUP(A230,'[3]Stock actif'!$A:$K,11,0)</f>
        <v>Alcatel-Lucent</v>
      </c>
    </row>
    <row r="231" spans="1:11" x14ac:dyDescent="0.35">
      <c r="A231" s="3">
        <v>2953</v>
      </c>
      <c r="B231" s="3" t="s">
        <v>236</v>
      </c>
      <c r="C231" s="3" t="s">
        <v>4</v>
      </c>
      <c r="D231" s="3" t="s">
        <v>120</v>
      </c>
      <c r="E231" s="3">
        <f>VLOOKUP(A231,[1]fnd_gfm_43298102!$B:$F,5,0)</f>
        <v>1</v>
      </c>
      <c r="F231" s="3">
        <f>VLOOKUP(A231,[4]fnd_gfm_43298103!$B:$F,5,0)</f>
        <v>2</v>
      </c>
      <c r="G231" s="3">
        <f t="shared" si="6"/>
        <v>3</v>
      </c>
      <c r="H231" s="3">
        <f>VLOOKUP(A231,'[2]CUMP Articles'!$A:$H,8,0)</f>
        <v>916870</v>
      </c>
      <c r="I231" s="3">
        <f t="shared" si="7"/>
        <v>2750610</v>
      </c>
      <c r="J231" s="3" t="str">
        <f>VLOOKUP(A231,'[3]Stock actif'!$A:$K,10,0)</f>
        <v>Oui</v>
      </c>
      <c r="K231" s="3" t="str">
        <f>VLOOKUP(A231,'[3]Stock actif'!$A:$K,11,0)</f>
        <v>Alcatel-Lucent</v>
      </c>
    </row>
    <row r="232" spans="1:11" x14ac:dyDescent="0.35">
      <c r="A232" s="3">
        <v>2958</v>
      </c>
      <c r="B232" s="3" t="s">
        <v>237</v>
      </c>
      <c r="C232" s="3" t="s">
        <v>4</v>
      </c>
      <c r="D232" s="3" t="s">
        <v>120</v>
      </c>
      <c r="E232" s="3">
        <f>VLOOKUP(A232,[1]fnd_gfm_43298102!$B:$F,5,0)</f>
        <v>3</v>
      </c>
      <c r="F232" s="3">
        <f>VLOOKUP(A232,[4]fnd_gfm_43298103!$B:$F,5,0)</f>
        <v>13</v>
      </c>
      <c r="G232" s="3">
        <f t="shared" si="6"/>
        <v>16</v>
      </c>
      <c r="H232" s="3">
        <f>VLOOKUP(A232,'[2]CUMP Articles'!$A:$H,8,0)</f>
        <v>231905.845130909</v>
      </c>
      <c r="I232" s="3">
        <f t="shared" si="7"/>
        <v>3710493.522094544</v>
      </c>
      <c r="J232" s="3" t="str">
        <f>VLOOKUP(A232,'[3]Stock actif'!$A:$K,10,0)</f>
        <v>Oui</v>
      </c>
      <c r="K232" s="3" t="str">
        <f>VLOOKUP(A232,'[3]Stock actif'!$A:$K,11,0)</f>
        <v>Alcatel-Lucent</v>
      </c>
    </row>
    <row r="233" spans="1:11" x14ac:dyDescent="0.35">
      <c r="A233" s="3">
        <v>2963</v>
      </c>
      <c r="B233" s="3" t="s">
        <v>238</v>
      </c>
      <c r="C233" s="3" t="s">
        <v>4</v>
      </c>
      <c r="D233" s="3" t="s">
        <v>120</v>
      </c>
      <c r="E233" s="3"/>
      <c r="F233" s="3">
        <f>VLOOKUP(A233,[4]fnd_gfm_43298103!$B:$F,5,0)</f>
        <v>2</v>
      </c>
      <c r="G233" s="3">
        <f t="shared" si="6"/>
        <v>2</v>
      </c>
      <c r="H233" s="3">
        <f>VLOOKUP(A233,'[2]CUMP Articles'!$A:$H,8,0)</f>
        <v>20000</v>
      </c>
      <c r="I233" s="3">
        <f t="shared" si="7"/>
        <v>40000</v>
      </c>
      <c r="J233" s="3" t="str">
        <f>VLOOKUP(A233,'[3]Stock actif'!$A:$K,10,0)</f>
        <v>Non</v>
      </c>
      <c r="K233" s="3" t="str">
        <f>VLOOKUP(A233,'[3]Stock actif'!$A:$K,11,0)</f>
        <v>Générique</v>
      </c>
    </row>
    <row r="234" spans="1:11" x14ac:dyDescent="0.35">
      <c r="A234" s="3">
        <v>2977</v>
      </c>
      <c r="B234" s="3" t="s">
        <v>239</v>
      </c>
      <c r="C234" s="3" t="s">
        <v>4</v>
      </c>
      <c r="D234" s="3" t="s">
        <v>120</v>
      </c>
      <c r="E234" s="3">
        <f>VLOOKUP(A234,[1]fnd_gfm_43298102!$B:$F,5,0)</f>
        <v>164</v>
      </c>
      <c r="F234" s="3">
        <f>VLOOKUP(A234,[4]fnd_gfm_43298103!$B:$F,5,0)</f>
        <v>1290</v>
      </c>
      <c r="G234" s="3">
        <f t="shared" si="6"/>
        <v>1454</v>
      </c>
      <c r="H234" s="3">
        <f>VLOOKUP(A234,'[2]CUMP Articles'!$A:$H,8,0)</f>
        <v>1897.4671351899999</v>
      </c>
      <c r="I234" s="3">
        <f t="shared" si="7"/>
        <v>2758917.2145662596</v>
      </c>
      <c r="J234" s="3" t="str">
        <f>VLOOKUP(A234,'[3]Stock actif'!$A:$K,10,0)</f>
        <v>Oui</v>
      </c>
      <c r="K234" s="3" t="str">
        <f>VLOOKUP(A234,'[3]Stock actif'!$A:$K,11,0)</f>
        <v>Nexans</v>
      </c>
    </row>
    <row r="235" spans="1:11" x14ac:dyDescent="0.35">
      <c r="A235" s="3">
        <v>2978</v>
      </c>
      <c r="B235" s="3" t="s">
        <v>240</v>
      </c>
      <c r="C235" s="3" t="s">
        <v>4</v>
      </c>
      <c r="D235" s="3" t="s">
        <v>120</v>
      </c>
      <c r="E235" s="3">
        <f>VLOOKUP(A235,[1]fnd_gfm_43298102!$B:$F,5,0)</f>
        <v>17</v>
      </c>
      <c r="F235" s="3">
        <f>VLOOKUP(A235,[4]fnd_gfm_43298103!$B:$F,5,0)</f>
        <v>20</v>
      </c>
      <c r="G235" s="3">
        <f t="shared" si="6"/>
        <v>37</v>
      </c>
      <c r="H235" s="3">
        <f>VLOOKUP(A235,'[2]CUMP Articles'!$A:$H,8,0)</f>
        <v>2824</v>
      </c>
      <c r="I235" s="3">
        <f t="shared" si="7"/>
        <v>104488</v>
      </c>
      <c r="J235" s="3" t="str">
        <f>VLOOKUP(A235,'[3]Stock actif'!$A:$K,10,0)</f>
        <v>Oui</v>
      </c>
      <c r="K235" s="3" t="str">
        <f>VLOOKUP(A235,'[3]Stock actif'!$A:$K,11,0)</f>
        <v>Nexans</v>
      </c>
    </row>
    <row r="236" spans="1:11" x14ac:dyDescent="0.35">
      <c r="A236" s="3">
        <v>2979</v>
      </c>
      <c r="B236" s="3" t="s">
        <v>241</v>
      </c>
      <c r="C236" s="3" t="s">
        <v>4</v>
      </c>
      <c r="D236" s="3" t="s">
        <v>120</v>
      </c>
      <c r="E236" s="3">
        <f>VLOOKUP(A236,[1]fnd_gfm_43298102!$B:$F,5,0)</f>
        <v>1</v>
      </c>
      <c r="F236" s="3"/>
      <c r="G236" s="3">
        <f t="shared" si="6"/>
        <v>1</v>
      </c>
      <c r="H236" s="3">
        <f>VLOOKUP(A236,'[2]CUMP Articles'!$A:$H,8,0)</f>
        <v>761441</v>
      </c>
      <c r="I236" s="3">
        <f t="shared" si="7"/>
        <v>761441</v>
      </c>
      <c r="J236" s="3" t="str">
        <f>VLOOKUP(A236,'[3]Stock actif'!$A:$K,10,0)</f>
        <v>Oui</v>
      </c>
      <c r="K236" s="3" t="str">
        <f>VLOOKUP(A236,'[3]Stock actif'!$A:$K,11,0)</f>
        <v>Cisco</v>
      </c>
    </row>
    <row r="237" spans="1:11" x14ac:dyDescent="0.35">
      <c r="A237" s="3">
        <v>2990</v>
      </c>
      <c r="B237" s="3" t="s">
        <v>242</v>
      </c>
      <c r="C237" s="3" t="s">
        <v>4</v>
      </c>
      <c r="D237" s="3" t="s">
        <v>120</v>
      </c>
      <c r="E237" s="3"/>
      <c r="F237" s="3">
        <f>VLOOKUP(A237,[4]fnd_gfm_43298103!$B:$F,5,0)</f>
        <v>1</v>
      </c>
      <c r="G237" s="3">
        <f t="shared" si="6"/>
        <v>1</v>
      </c>
      <c r="H237" s="3">
        <f>VLOOKUP(A237,'[2]CUMP Articles'!$A:$H,8,0)</f>
        <v>143195</v>
      </c>
      <c r="I237" s="3">
        <f t="shared" si="7"/>
        <v>143195</v>
      </c>
      <c r="J237" s="3" t="str">
        <f>VLOOKUP(A237,'[3]Stock actif'!$A:$K,10,0)</f>
        <v>Oui</v>
      </c>
      <c r="K237" s="3" t="str">
        <f>VLOOKUP(A237,'[3]Stock actif'!$A:$K,11,0)</f>
        <v>Cisco</v>
      </c>
    </row>
    <row r="238" spans="1:11" x14ac:dyDescent="0.35">
      <c r="A238" s="3">
        <v>2993</v>
      </c>
      <c r="B238" s="3" t="s">
        <v>243</v>
      </c>
      <c r="C238" s="3" t="s">
        <v>4</v>
      </c>
      <c r="D238" s="3" t="s">
        <v>120</v>
      </c>
      <c r="E238" s="3"/>
      <c r="F238" s="3">
        <f>VLOOKUP(A238,[4]fnd_gfm_43298103!$B:$F,5,0)</f>
        <v>1</v>
      </c>
      <c r="G238" s="3">
        <f t="shared" si="6"/>
        <v>1</v>
      </c>
      <c r="H238" s="3">
        <f>VLOOKUP(A238,'[2]CUMP Articles'!$A:$H,8,0)</f>
        <v>73118.514617400899</v>
      </c>
      <c r="I238" s="3">
        <f t="shared" si="7"/>
        <v>73118.514617400899</v>
      </c>
      <c r="J238" s="3" t="str">
        <f>VLOOKUP(A238,'[3]Stock actif'!$A:$K,10,0)</f>
        <v>Oui</v>
      </c>
      <c r="K238" s="3" t="str">
        <f>VLOOKUP(A238,'[3]Stock actif'!$A:$K,11,0)</f>
        <v>Cisco</v>
      </c>
    </row>
    <row r="239" spans="1:11" x14ac:dyDescent="0.35">
      <c r="A239" s="3">
        <v>3003</v>
      </c>
      <c r="B239" s="3" t="s">
        <v>244</v>
      </c>
      <c r="C239" s="3" t="s">
        <v>4</v>
      </c>
      <c r="D239" s="3" t="s">
        <v>120</v>
      </c>
      <c r="E239" s="3">
        <f>VLOOKUP(A239,[1]fnd_gfm_43298102!$B:$F,5,0)</f>
        <v>77</v>
      </c>
      <c r="F239" s="3">
        <f>VLOOKUP(A239,[4]fnd_gfm_43298103!$B:$F,5,0)</f>
        <v>160</v>
      </c>
      <c r="G239" s="3">
        <f t="shared" si="6"/>
        <v>237</v>
      </c>
      <c r="H239" s="3">
        <f>VLOOKUP(A239,'[2]CUMP Articles'!$A:$H,8,0)</f>
        <v>3219.8852754089098</v>
      </c>
      <c r="I239" s="3">
        <f t="shared" si="7"/>
        <v>763112.81027191167</v>
      </c>
      <c r="J239" s="3" t="str">
        <f>VLOOKUP(A239,'[3]Stock actif'!$A:$K,10,0)</f>
        <v>Oui</v>
      </c>
      <c r="K239" s="3" t="str">
        <f>VLOOKUP(A239,'[3]Stock actif'!$A:$K,11,0)</f>
        <v>Alcatel-Lucent</v>
      </c>
    </row>
    <row r="240" spans="1:11" x14ac:dyDescent="0.35">
      <c r="A240" s="3">
        <v>3033</v>
      </c>
      <c r="B240" s="3" t="s">
        <v>245</v>
      </c>
      <c r="C240" s="3" t="s">
        <v>4</v>
      </c>
      <c r="D240" s="3" t="s">
        <v>120</v>
      </c>
      <c r="E240" s="3"/>
      <c r="F240" s="3">
        <f>VLOOKUP(A240,[4]fnd_gfm_43298103!$B:$F,5,0)</f>
        <v>13</v>
      </c>
      <c r="G240" s="3">
        <f t="shared" si="6"/>
        <v>13</v>
      </c>
      <c r="H240" s="3">
        <f>VLOOKUP(A240,'[2]CUMP Articles'!$A:$H,8,0)</f>
        <v>30972</v>
      </c>
      <c r="I240" s="3">
        <f t="shared" si="7"/>
        <v>402636</v>
      </c>
      <c r="J240" s="3" t="str">
        <f>VLOOKUP(A240,'[3]Stock actif'!$A:$K,10,0)</f>
        <v>Oui</v>
      </c>
      <c r="K240" s="3" t="str">
        <f>VLOOKUP(A240,'[3]Stock actif'!$A:$K,11,0)</f>
        <v>Alcatel-Lucent</v>
      </c>
    </row>
    <row r="241" spans="1:11" x14ac:dyDescent="0.35">
      <c r="A241" s="3">
        <v>3041</v>
      </c>
      <c r="B241" s="3" t="s">
        <v>246</v>
      </c>
      <c r="C241" s="3" t="s">
        <v>4</v>
      </c>
      <c r="D241" s="3" t="s">
        <v>120</v>
      </c>
      <c r="E241" s="3">
        <f>VLOOKUP(A241,[1]fnd_gfm_43298102!$B:$F,5,0)</f>
        <v>2</v>
      </c>
      <c r="F241" s="3"/>
      <c r="G241" s="3">
        <f t="shared" si="6"/>
        <v>2</v>
      </c>
      <c r="H241" s="3">
        <f>VLOOKUP(A241,'[2]CUMP Articles'!$A:$H,8,0)</f>
        <v>2849</v>
      </c>
      <c r="I241" s="3">
        <f t="shared" si="7"/>
        <v>5698</v>
      </c>
      <c r="J241" s="3" t="str">
        <f>VLOOKUP(A241,'[3]Stock actif'!$A:$K,10,0)</f>
        <v>Oui</v>
      </c>
      <c r="K241" s="3" t="str">
        <f>VLOOKUP(A241,'[3]Stock actif'!$A:$K,11,0)</f>
        <v>Nexans</v>
      </c>
    </row>
    <row r="242" spans="1:11" x14ac:dyDescent="0.35">
      <c r="A242" s="3">
        <v>3045</v>
      </c>
      <c r="B242" s="3" t="s">
        <v>247</v>
      </c>
      <c r="C242" s="3" t="s">
        <v>4</v>
      </c>
      <c r="D242" s="3" t="s">
        <v>120</v>
      </c>
      <c r="E242" s="3"/>
      <c r="F242" s="3">
        <f>VLOOKUP(A242,[4]fnd_gfm_43298103!$B:$F,5,0)</f>
        <v>24</v>
      </c>
      <c r="G242" s="3">
        <f t="shared" si="6"/>
        <v>24</v>
      </c>
      <c r="H242" s="3">
        <f>VLOOKUP(A242,'[2]CUMP Articles'!$A:$H,8,0)</f>
        <v>16765</v>
      </c>
      <c r="I242" s="3">
        <f t="shared" si="7"/>
        <v>402360</v>
      </c>
      <c r="J242" s="3" t="str">
        <f>VLOOKUP(A242,'[3]Stock actif'!$A:$K,10,0)</f>
        <v>Oui</v>
      </c>
      <c r="K242" s="3" t="str">
        <f>VLOOKUP(A242,'[3]Stock actif'!$A:$K,11,0)</f>
        <v>Nexans</v>
      </c>
    </row>
    <row r="243" spans="1:11" x14ac:dyDescent="0.35">
      <c r="A243" s="3">
        <v>3061</v>
      </c>
      <c r="B243" s="3" t="s">
        <v>248</v>
      </c>
      <c r="C243" s="3" t="s">
        <v>4</v>
      </c>
      <c r="D243" s="3" t="s">
        <v>120</v>
      </c>
      <c r="E243" s="3"/>
      <c r="F243" s="3">
        <f>VLOOKUP(A243,[4]fnd_gfm_43298103!$B:$F,5,0)</f>
        <v>1</v>
      </c>
      <c r="G243" s="3">
        <f t="shared" si="6"/>
        <v>1</v>
      </c>
      <c r="H243" s="3">
        <f>VLOOKUP(A243,'[2]CUMP Articles'!$A:$H,8,0)</f>
        <v>16058</v>
      </c>
      <c r="I243" s="3">
        <f t="shared" si="7"/>
        <v>16058</v>
      </c>
      <c r="J243" s="3" t="str">
        <f>VLOOKUP(A243,'[3]Stock actif'!$A:$K,10,0)</f>
        <v>Oui</v>
      </c>
      <c r="K243" s="3" t="str">
        <f>VLOOKUP(A243,'[3]Stock actif'!$A:$K,11,0)</f>
        <v>Alcatel-Lucent</v>
      </c>
    </row>
    <row r="244" spans="1:11" x14ac:dyDescent="0.35">
      <c r="A244" s="3">
        <v>3099</v>
      </c>
      <c r="B244" s="3" t="s">
        <v>249</v>
      </c>
      <c r="C244" s="3" t="s">
        <v>4</v>
      </c>
      <c r="D244" s="3" t="s">
        <v>120</v>
      </c>
      <c r="E244" s="3">
        <f>VLOOKUP(A244,[1]fnd_gfm_43298102!$B:$F,5,0)</f>
        <v>2</v>
      </c>
      <c r="F244" s="3">
        <f>VLOOKUP(A244,[4]fnd_gfm_43298103!$B:$F,5,0)</f>
        <v>7</v>
      </c>
      <c r="G244" s="3">
        <f t="shared" si="6"/>
        <v>9</v>
      </c>
      <c r="H244" s="3">
        <f>VLOOKUP(A244,'[2]CUMP Articles'!$A:$H,8,0)</f>
        <v>221377.35320000001</v>
      </c>
      <c r="I244" s="3">
        <f t="shared" si="7"/>
        <v>1992396.1788000001</v>
      </c>
      <c r="J244" s="3" t="str">
        <f>VLOOKUP(A244,'[3]Stock actif'!$A:$K,10,0)</f>
        <v>Oui</v>
      </c>
      <c r="K244" s="3" t="str">
        <f>VLOOKUP(A244,'[3]Stock actif'!$A:$K,11,0)</f>
        <v>Alcatel-Lucent</v>
      </c>
    </row>
    <row r="245" spans="1:11" x14ac:dyDescent="0.35">
      <c r="A245" s="3">
        <v>3104</v>
      </c>
      <c r="B245" s="3" t="s">
        <v>250</v>
      </c>
      <c r="C245" s="3" t="s">
        <v>4</v>
      </c>
      <c r="D245" s="3" t="s">
        <v>5</v>
      </c>
      <c r="E245" s="3"/>
      <c r="F245" s="3">
        <f>VLOOKUP(A245,[4]fnd_gfm_43298103!$B:$F,5,0)</f>
        <v>8</v>
      </c>
      <c r="G245" s="3">
        <f t="shared" si="6"/>
        <v>8</v>
      </c>
      <c r="H245" s="3">
        <f>VLOOKUP(A245,'[2]CUMP Articles'!$A:$H,8,0)</f>
        <v>37000</v>
      </c>
      <c r="I245" s="3">
        <f t="shared" si="7"/>
        <v>296000</v>
      </c>
      <c r="J245" s="3" t="str">
        <f>VLOOKUP(A245,'[3]Stock actif'!$A:$K,10,0)</f>
        <v>Oui</v>
      </c>
      <c r="K245" s="3" t="str">
        <f>VLOOKUP(A245,'[3]Stock actif'!$A:$K,11,0)</f>
        <v>Alcatel-Lucent</v>
      </c>
    </row>
    <row r="246" spans="1:11" x14ac:dyDescent="0.35">
      <c r="A246" s="3">
        <v>3108</v>
      </c>
      <c r="B246" s="3" t="s">
        <v>251</v>
      </c>
      <c r="C246" s="3" t="s">
        <v>4</v>
      </c>
      <c r="D246" s="3" t="s">
        <v>120</v>
      </c>
      <c r="E246" s="3"/>
      <c r="F246" s="3">
        <f>VLOOKUP(A246,[4]fnd_gfm_43298103!$B:$F,5,0)</f>
        <v>119</v>
      </c>
      <c r="G246" s="3">
        <f t="shared" si="6"/>
        <v>119</v>
      </c>
      <c r="H246" s="3">
        <f>VLOOKUP(A246,'[2]CUMP Articles'!$A:$H,8,0)</f>
        <v>6327</v>
      </c>
      <c r="I246" s="3">
        <f t="shared" si="7"/>
        <v>752913</v>
      </c>
      <c r="J246" s="3" t="str">
        <f>VLOOKUP(A246,'[3]Stock actif'!$A:$K,10,0)</f>
        <v>Oui</v>
      </c>
      <c r="K246" s="3" t="str">
        <f>VLOOKUP(A246,'[3]Stock actif'!$A:$K,11,0)</f>
        <v>Générique</v>
      </c>
    </row>
    <row r="247" spans="1:11" x14ac:dyDescent="0.35">
      <c r="A247" s="3">
        <v>3109</v>
      </c>
      <c r="B247" s="3" t="s">
        <v>252</v>
      </c>
      <c r="C247" s="3" t="s">
        <v>4</v>
      </c>
      <c r="D247" s="3" t="s">
        <v>120</v>
      </c>
      <c r="E247" s="3"/>
      <c r="F247" s="3">
        <f>VLOOKUP(A247,[4]fnd_gfm_43298103!$B:$F,5,0)</f>
        <v>7</v>
      </c>
      <c r="G247" s="3">
        <f t="shared" si="6"/>
        <v>7</v>
      </c>
      <c r="H247" s="3">
        <f>VLOOKUP(A247,'[2]CUMP Articles'!$A:$H,8,0)</f>
        <v>65979</v>
      </c>
      <c r="I247" s="3">
        <f t="shared" si="7"/>
        <v>461853</v>
      </c>
      <c r="J247" s="3" t="str">
        <f>VLOOKUP(A247,'[3]Stock actif'!$A:$K,10,0)</f>
        <v>Oui</v>
      </c>
      <c r="K247" s="3" t="str">
        <f>VLOOKUP(A247,'[3]Stock actif'!$A:$K,11,0)</f>
        <v>Alcatel-Lucent</v>
      </c>
    </row>
    <row r="248" spans="1:11" x14ac:dyDescent="0.35">
      <c r="A248" s="3">
        <v>3111</v>
      </c>
      <c r="B248" s="3" t="s">
        <v>253</v>
      </c>
      <c r="C248" s="3" t="s">
        <v>4</v>
      </c>
      <c r="D248" s="3" t="s">
        <v>13</v>
      </c>
      <c r="E248" s="3"/>
      <c r="F248" s="3">
        <f>VLOOKUP(A248,[4]fnd_gfm_43298103!$B:$F,5,0)</f>
        <v>5</v>
      </c>
      <c r="G248" s="3">
        <f t="shared" si="6"/>
        <v>5</v>
      </c>
      <c r="H248" s="3">
        <f>VLOOKUP(A248,'[2]CUMP Articles'!$A:$H,8,0)</f>
        <v>245884</v>
      </c>
      <c r="I248" s="3">
        <f t="shared" si="7"/>
        <v>1229420</v>
      </c>
      <c r="J248" s="3" t="str">
        <f>VLOOKUP(A248,'[3]Stock actif'!$A:$K,10,0)</f>
        <v>Oui</v>
      </c>
      <c r="K248" s="3" t="str">
        <f>VLOOKUP(A248,'[3]Stock actif'!$A:$K,11,0)</f>
        <v>Cisco</v>
      </c>
    </row>
    <row r="249" spans="1:11" x14ac:dyDescent="0.35">
      <c r="A249" s="3">
        <v>3116</v>
      </c>
      <c r="B249" s="3" t="s">
        <v>254</v>
      </c>
      <c r="C249" s="3" t="s">
        <v>4</v>
      </c>
      <c r="D249" s="3" t="s">
        <v>120</v>
      </c>
      <c r="E249" s="3"/>
      <c r="F249" s="3">
        <f>VLOOKUP(A249,[4]fnd_gfm_43298103!$B:$F,5,0)</f>
        <v>35</v>
      </c>
      <c r="G249" s="3">
        <f t="shared" si="6"/>
        <v>35</v>
      </c>
      <c r="H249" s="3">
        <f>VLOOKUP(A249,'[2]CUMP Articles'!$A:$H,8,0)</f>
        <v>127141.35875</v>
      </c>
      <c r="I249" s="3">
        <f t="shared" si="7"/>
        <v>4449947.5562500004</v>
      </c>
      <c r="J249" s="3" t="str">
        <f>VLOOKUP(A249,'[3]Stock actif'!$A:$K,10,0)</f>
        <v>Oui</v>
      </c>
      <c r="K249" s="3" t="str">
        <f>VLOOKUP(A249,'[3]Stock actif'!$A:$K,11,0)</f>
        <v>Alcatel-Lucent</v>
      </c>
    </row>
    <row r="250" spans="1:11" x14ac:dyDescent="0.35">
      <c r="A250" s="3">
        <v>3117</v>
      </c>
      <c r="B250" s="3" t="s">
        <v>255</v>
      </c>
      <c r="C250" s="3" t="s">
        <v>4</v>
      </c>
      <c r="D250" s="3" t="s">
        <v>120</v>
      </c>
      <c r="E250" s="3">
        <f>VLOOKUP(A250,[1]fnd_gfm_43298102!$B:$F,5,0)</f>
        <v>2</v>
      </c>
      <c r="F250" s="3"/>
      <c r="G250" s="3">
        <f t="shared" si="6"/>
        <v>2</v>
      </c>
      <c r="H250" s="3">
        <f>VLOOKUP(A250,'[2]CUMP Articles'!$A:$H,8,0)</f>
        <v>143488</v>
      </c>
      <c r="I250" s="3">
        <f t="shared" si="7"/>
        <v>286976</v>
      </c>
      <c r="J250" s="3" t="str">
        <f>VLOOKUP(A250,'[3]Stock actif'!$A:$K,10,0)</f>
        <v>Oui</v>
      </c>
      <c r="K250" s="3" t="str">
        <f>VLOOKUP(A250,'[3]Stock actif'!$A:$K,11,0)</f>
        <v>Alcatel-Lucent</v>
      </c>
    </row>
    <row r="251" spans="1:11" x14ac:dyDescent="0.35">
      <c r="A251" s="3">
        <v>3119</v>
      </c>
      <c r="B251" s="3" t="s">
        <v>256</v>
      </c>
      <c r="C251" s="3" t="s">
        <v>4</v>
      </c>
      <c r="D251" s="3" t="s">
        <v>120</v>
      </c>
      <c r="E251" s="3"/>
      <c r="F251" s="3">
        <f>VLOOKUP(A251,[4]fnd_gfm_43298103!$B:$F,5,0)</f>
        <v>6</v>
      </c>
      <c r="G251" s="3">
        <f t="shared" si="6"/>
        <v>6</v>
      </c>
      <c r="H251" s="3">
        <f>VLOOKUP(A251,'[2]CUMP Articles'!$A:$H,8,0)</f>
        <v>130175</v>
      </c>
      <c r="I251" s="3">
        <f t="shared" si="7"/>
        <v>781050</v>
      </c>
      <c r="J251" s="3" t="str">
        <f>VLOOKUP(A251,'[3]Stock actif'!$A:$K,10,0)</f>
        <v>Oui</v>
      </c>
      <c r="K251" s="3" t="str">
        <f>VLOOKUP(A251,'[3]Stock actif'!$A:$K,11,0)</f>
        <v>Alcatel-Lucent</v>
      </c>
    </row>
    <row r="252" spans="1:11" x14ac:dyDescent="0.35">
      <c r="A252" s="3">
        <v>3512</v>
      </c>
      <c r="B252" s="3" t="s">
        <v>257</v>
      </c>
      <c r="C252" s="3" t="s">
        <v>4</v>
      </c>
      <c r="D252" s="3" t="s">
        <v>5</v>
      </c>
      <c r="E252" s="3"/>
      <c r="F252" s="3">
        <f>VLOOKUP(A252,[4]fnd_gfm_43298103!$B:$F,5,0)</f>
        <v>34640</v>
      </c>
      <c r="G252" s="3">
        <f t="shared" si="6"/>
        <v>34640</v>
      </c>
      <c r="H252" s="3">
        <f>VLOOKUP(A252,'[2]CUMP Articles'!$A:$H,8,0)</f>
        <v>572.75538843804804</v>
      </c>
      <c r="I252" s="3">
        <f t="shared" si="7"/>
        <v>19840246.655493986</v>
      </c>
      <c r="J252" s="3" t="str">
        <f>VLOOKUP(A252,'[3]Stock actif'!$A:$K,10,0)</f>
        <v>Oui</v>
      </c>
      <c r="K252" s="3" t="str">
        <f>VLOOKUP(A252,'[3]Stock actif'!$A:$K,11,0)</f>
        <v>Nexans</v>
      </c>
    </row>
    <row r="253" spans="1:11" x14ac:dyDescent="0.35">
      <c r="A253" s="3">
        <v>3600</v>
      </c>
      <c r="B253" s="3" t="s">
        <v>258</v>
      </c>
      <c r="C253" s="3" t="s">
        <v>4</v>
      </c>
      <c r="D253" s="3" t="s">
        <v>5</v>
      </c>
      <c r="E253" s="3">
        <f>VLOOKUP(A253,[1]fnd_gfm_43298102!$B:$F,5,0)</f>
        <v>16</v>
      </c>
      <c r="F253" s="3">
        <f>VLOOKUP(A253,[4]fnd_gfm_43298103!$B:$F,5,0)</f>
        <v>492</v>
      </c>
      <c r="G253" s="3">
        <f t="shared" si="6"/>
        <v>508</v>
      </c>
      <c r="H253" s="3">
        <f>VLOOKUP(A253,'[2]CUMP Articles'!$A:$H,8,0)</f>
        <v>3329.9591509299999</v>
      </c>
      <c r="I253" s="3">
        <f t="shared" si="7"/>
        <v>1691619.2486724399</v>
      </c>
      <c r="J253" s="3" t="str">
        <f>VLOOKUP(A253,'[3]Stock actif'!$A:$K,10,0)</f>
        <v>Oui</v>
      </c>
      <c r="K253" s="3" t="str">
        <f>VLOOKUP(A253,'[3]Stock actif'!$A:$K,11,0)</f>
        <v>Nexans</v>
      </c>
    </row>
    <row r="254" spans="1:11" x14ac:dyDescent="0.35">
      <c r="A254" s="3">
        <v>3605</v>
      </c>
      <c r="B254" s="3" t="s">
        <v>259</v>
      </c>
      <c r="C254" s="3" t="s">
        <v>4</v>
      </c>
      <c r="D254" s="3" t="s">
        <v>5</v>
      </c>
      <c r="E254" s="3"/>
      <c r="F254" s="3">
        <f>VLOOKUP(A254,[4]fnd_gfm_43298103!$B:$F,5,0)</f>
        <v>11</v>
      </c>
      <c r="G254" s="3">
        <f t="shared" si="6"/>
        <v>11</v>
      </c>
      <c r="H254" s="3">
        <f>VLOOKUP(A254,'[2]CUMP Articles'!$A:$H,8,0)</f>
        <v>94279</v>
      </c>
      <c r="I254" s="3">
        <f t="shared" si="7"/>
        <v>1037069</v>
      </c>
      <c r="J254" s="3" t="str">
        <f>VLOOKUP(A254,'[3]Stock actif'!$A:$K,10,0)</f>
        <v>Oui</v>
      </c>
      <c r="K254" s="3" t="str">
        <f>VLOOKUP(A254,'[3]Stock actif'!$A:$K,11,0)</f>
        <v>Alcatel-Lucent</v>
      </c>
    </row>
    <row r="255" spans="1:11" x14ac:dyDescent="0.35">
      <c r="A255" s="3">
        <v>3606</v>
      </c>
      <c r="B255" s="3" t="s">
        <v>260</v>
      </c>
      <c r="C255" s="3" t="s">
        <v>4</v>
      </c>
      <c r="D255" s="3" t="s">
        <v>5</v>
      </c>
      <c r="E255" s="3"/>
      <c r="F255" s="3">
        <f>VLOOKUP(A255,[4]fnd_gfm_43298103!$B:$F,5,0)</f>
        <v>150</v>
      </c>
      <c r="G255" s="3">
        <f t="shared" si="6"/>
        <v>150</v>
      </c>
      <c r="H255" s="3">
        <f>VLOOKUP(A255,'[2]CUMP Articles'!$A:$H,8,0)</f>
        <v>649</v>
      </c>
      <c r="I255" s="3">
        <f t="shared" si="7"/>
        <v>97350</v>
      </c>
      <c r="J255" s="3" t="str">
        <f>VLOOKUP(A255,'[3]Stock actif'!$A:$K,10,0)</f>
        <v>Oui</v>
      </c>
      <c r="K255" s="3" t="str">
        <f>VLOOKUP(A255,'[3]Stock actif'!$A:$K,11,0)</f>
        <v>Nexans</v>
      </c>
    </row>
    <row r="256" spans="1:11" x14ac:dyDescent="0.35">
      <c r="A256" s="3">
        <v>3608</v>
      </c>
      <c r="B256" s="3" t="s">
        <v>261</v>
      </c>
      <c r="C256" s="3" t="s">
        <v>4</v>
      </c>
      <c r="D256" s="3" t="s">
        <v>5</v>
      </c>
      <c r="E256" s="3"/>
      <c r="F256" s="3">
        <f>VLOOKUP(A256,[4]fnd_gfm_43298103!$B:$F,5,0)</f>
        <v>150</v>
      </c>
      <c r="G256" s="3">
        <f t="shared" si="6"/>
        <v>150</v>
      </c>
      <c r="H256" s="3">
        <f>VLOOKUP(A256,'[2]CUMP Articles'!$A:$H,8,0)</f>
        <v>958</v>
      </c>
      <c r="I256" s="3">
        <f t="shared" si="7"/>
        <v>143700</v>
      </c>
      <c r="J256" s="3" t="str">
        <f>VLOOKUP(A256,'[3]Stock actif'!$A:$K,10,0)</f>
        <v>Oui</v>
      </c>
      <c r="K256" s="3" t="str">
        <f>VLOOKUP(A256,'[3]Stock actif'!$A:$K,11,0)</f>
        <v>Nexans</v>
      </c>
    </row>
    <row r="257" spans="1:11" x14ac:dyDescent="0.35">
      <c r="A257" s="3">
        <v>3610</v>
      </c>
      <c r="B257" s="3" t="s">
        <v>262</v>
      </c>
      <c r="C257" s="3" t="s">
        <v>4</v>
      </c>
      <c r="D257" s="3" t="s">
        <v>5</v>
      </c>
      <c r="E257" s="3"/>
      <c r="F257" s="3">
        <f>VLOOKUP(A257,[4]fnd_gfm_43298103!$B:$F,5,0)</f>
        <v>99</v>
      </c>
      <c r="G257" s="3">
        <f t="shared" si="6"/>
        <v>99</v>
      </c>
      <c r="H257" s="3">
        <f>VLOOKUP(A257,'[2]CUMP Articles'!$A:$H,8,0)</f>
        <v>3107</v>
      </c>
      <c r="I257" s="3">
        <f t="shared" si="7"/>
        <v>307593</v>
      </c>
      <c r="J257" s="3" t="str">
        <f>VLOOKUP(A257,'[3]Stock actif'!$A:$K,10,0)</f>
        <v>Oui</v>
      </c>
      <c r="K257" s="3" t="str">
        <f>VLOOKUP(A257,'[3]Stock actif'!$A:$K,11,0)</f>
        <v>Générique</v>
      </c>
    </row>
    <row r="258" spans="1:11" x14ac:dyDescent="0.35">
      <c r="A258" s="3">
        <v>3612</v>
      </c>
      <c r="B258" s="3" t="s">
        <v>263</v>
      </c>
      <c r="C258" s="3" t="s">
        <v>4</v>
      </c>
      <c r="D258" s="3" t="s">
        <v>5</v>
      </c>
      <c r="E258" s="3"/>
      <c r="F258" s="3">
        <f>VLOOKUP(A258,[4]fnd_gfm_43298103!$B:$F,5,0)</f>
        <v>99</v>
      </c>
      <c r="G258" s="3">
        <f t="shared" si="6"/>
        <v>99</v>
      </c>
      <c r="H258" s="3">
        <f>VLOOKUP(A258,'[2]CUMP Articles'!$A:$H,8,0)</f>
        <v>18640</v>
      </c>
      <c r="I258" s="3">
        <f t="shared" si="7"/>
        <v>1845360</v>
      </c>
      <c r="J258" s="3" t="str">
        <f>VLOOKUP(A258,'[3]Stock actif'!$A:$K,10,0)</f>
        <v>Oui</v>
      </c>
      <c r="K258" s="3" t="str">
        <f>VLOOKUP(A258,'[3]Stock actif'!$A:$K,11,0)</f>
        <v>Générique</v>
      </c>
    </row>
    <row r="259" spans="1:11" x14ac:dyDescent="0.35">
      <c r="A259" s="3">
        <v>3613</v>
      </c>
      <c r="B259" s="3" t="s">
        <v>264</v>
      </c>
      <c r="C259" s="3" t="s">
        <v>4</v>
      </c>
      <c r="D259" s="3" t="s">
        <v>5</v>
      </c>
      <c r="E259" s="3"/>
      <c r="F259" s="3">
        <f>VLOOKUP(A259,[4]fnd_gfm_43298103!$B:$F,5,0)</f>
        <v>1</v>
      </c>
      <c r="G259" s="3">
        <f t="shared" ref="G259:G322" si="8">SUM(E259:F259)</f>
        <v>1</v>
      </c>
      <c r="H259" s="3">
        <f>VLOOKUP(A259,'[2]CUMP Articles'!$A:$H,8,0)</f>
        <v>270750</v>
      </c>
      <c r="I259" s="3">
        <f t="shared" ref="I259:I322" si="9">H259*G259</f>
        <v>270750</v>
      </c>
      <c r="J259" s="3" t="str">
        <f>VLOOKUP(A259,'[3]Stock actif'!$A:$K,10,0)</f>
        <v>Oui</v>
      </c>
      <c r="K259" s="3" t="str">
        <f>VLOOKUP(A259,'[3]Stock actif'!$A:$K,11,0)</f>
        <v>Cisco</v>
      </c>
    </row>
    <row r="260" spans="1:11" x14ac:dyDescent="0.35">
      <c r="A260" s="3">
        <v>3618</v>
      </c>
      <c r="B260" s="3" t="s">
        <v>265</v>
      </c>
      <c r="C260" s="3" t="s">
        <v>4</v>
      </c>
      <c r="D260" s="3" t="s">
        <v>5</v>
      </c>
      <c r="E260" s="3"/>
      <c r="F260" s="3">
        <f>VLOOKUP(A260,[4]fnd_gfm_43298103!$B:$F,5,0)</f>
        <v>33</v>
      </c>
      <c r="G260" s="3">
        <f t="shared" si="8"/>
        <v>33</v>
      </c>
      <c r="H260" s="3">
        <f>VLOOKUP(A260,'[2]CUMP Articles'!$A:$H,8,0)</f>
        <v>11433</v>
      </c>
      <c r="I260" s="3">
        <f t="shared" si="9"/>
        <v>377289</v>
      </c>
      <c r="J260" s="3" t="str">
        <f>VLOOKUP(A260,'[3]Stock actif'!$A:$K,10,0)</f>
        <v>Non</v>
      </c>
      <c r="K260" s="3" t="str">
        <f>VLOOKUP(A260,'[3]Stock actif'!$A:$K,11,0)</f>
        <v>Générique</v>
      </c>
    </row>
    <row r="261" spans="1:11" x14ac:dyDescent="0.35">
      <c r="A261" s="3">
        <v>3620</v>
      </c>
      <c r="B261" s="3" t="s">
        <v>266</v>
      </c>
      <c r="C261" s="3" t="s">
        <v>4</v>
      </c>
      <c r="D261" s="3" t="s">
        <v>5</v>
      </c>
      <c r="E261" s="3">
        <f>VLOOKUP(A261,[1]fnd_gfm_43298102!$B:$F,5,0)</f>
        <v>1</v>
      </c>
      <c r="F261" s="3">
        <f>VLOOKUP(A261,[4]fnd_gfm_43298103!$B:$F,5,0)</f>
        <v>1</v>
      </c>
      <c r="G261" s="3">
        <f t="shared" si="8"/>
        <v>2</v>
      </c>
      <c r="H261" s="3">
        <f>VLOOKUP(A261,'[2]CUMP Articles'!$A:$H,8,0)</f>
        <v>3058679</v>
      </c>
      <c r="I261" s="3">
        <f t="shared" si="9"/>
        <v>6117358</v>
      </c>
      <c r="J261" s="3" t="str">
        <f>VLOOKUP(A261,'[3]Stock actif'!$A:$K,10,0)</f>
        <v>Oui</v>
      </c>
      <c r="K261" s="3" t="str">
        <f>VLOOKUP(A261,'[3]Stock actif'!$A:$K,11,0)</f>
        <v>Cisco</v>
      </c>
    </row>
    <row r="262" spans="1:11" x14ac:dyDescent="0.35">
      <c r="A262" s="3">
        <v>3628</v>
      </c>
      <c r="B262" s="3" t="s">
        <v>267</v>
      </c>
      <c r="C262" s="3" t="s">
        <v>4</v>
      </c>
      <c r="D262" s="3" t="s">
        <v>5</v>
      </c>
      <c r="E262" s="3">
        <f>VLOOKUP(A262,[1]fnd_gfm_43298102!$B:$F,5,0)</f>
        <v>1</v>
      </c>
      <c r="F262" s="3">
        <f>VLOOKUP(A262,[4]fnd_gfm_43298103!$B:$F,5,0)</f>
        <v>4</v>
      </c>
      <c r="G262" s="3">
        <f t="shared" si="8"/>
        <v>5</v>
      </c>
      <c r="H262" s="3">
        <f>VLOOKUP(A262,'[2]CUMP Articles'!$A:$H,8,0)</f>
        <v>83691</v>
      </c>
      <c r="I262" s="3">
        <f t="shared" si="9"/>
        <v>418455</v>
      </c>
      <c r="J262" s="3" t="str">
        <f>VLOOKUP(A262,'[3]Stock actif'!$A:$K,10,0)</f>
        <v>Oui</v>
      </c>
      <c r="K262" s="3" t="str">
        <f>VLOOKUP(A262,'[3]Stock actif'!$A:$K,11,0)</f>
        <v>Alcatel-Lucent</v>
      </c>
    </row>
    <row r="263" spans="1:11" x14ac:dyDescent="0.35">
      <c r="A263" s="3">
        <v>3658</v>
      </c>
      <c r="B263" s="3" t="s">
        <v>268</v>
      </c>
      <c r="C263" s="3" t="s">
        <v>4</v>
      </c>
      <c r="D263" s="3" t="s">
        <v>120</v>
      </c>
      <c r="E263" s="3">
        <f>VLOOKUP(A263,[1]fnd_gfm_43298102!$B:$F,5,0)</f>
        <v>540</v>
      </c>
      <c r="F263" s="3">
        <f>VLOOKUP(A263,[4]fnd_gfm_43298103!$B:$F,5,0)</f>
        <v>7121</v>
      </c>
      <c r="G263" s="3">
        <f t="shared" si="8"/>
        <v>7661</v>
      </c>
      <c r="H263" s="3">
        <f>VLOOKUP(A263,'[2]CUMP Articles'!$A:$H,8,0)</f>
        <v>125</v>
      </c>
      <c r="I263" s="3">
        <f t="shared" si="9"/>
        <v>957625</v>
      </c>
      <c r="J263" s="3" t="str">
        <f>VLOOKUP(A263,'[3]Stock actif'!$A:$K,10,0)</f>
        <v>Non</v>
      </c>
      <c r="K263" s="3" t="str">
        <f>VLOOKUP(A263,'[3]Stock actif'!$A:$K,11,0)</f>
        <v>Générique</v>
      </c>
    </row>
    <row r="264" spans="1:11" x14ac:dyDescent="0.35">
      <c r="A264" s="3">
        <v>3660</v>
      </c>
      <c r="B264" s="3" t="s">
        <v>269</v>
      </c>
      <c r="C264" s="3" t="s">
        <v>4</v>
      </c>
      <c r="D264" s="3" t="s">
        <v>5</v>
      </c>
      <c r="E264" s="3">
        <f>VLOOKUP(A264,[1]fnd_gfm_43298102!$B:$F,5,0)</f>
        <v>16</v>
      </c>
      <c r="F264" s="3"/>
      <c r="G264" s="3">
        <f t="shared" si="8"/>
        <v>16</v>
      </c>
      <c r="H264" s="3">
        <f>VLOOKUP(A264,'[2]CUMP Articles'!$A:$H,8,0)</f>
        <v>93475.925925925898</v>
      </c>
      <c r="I264" s="3">
        <f t="shared" si="9"/>
        <v>1495614.8148148144</v>
      </c>
      <c r="J264" s="3" t="str">
        <f>VLOOKUP(A264,'[3]Stock actif'!$A:$K,10,0)</f>
        <v>Oui</v>
      </c>
      <c r="K264" s="3" t="str">
        <f>VLOOKUP(A264,'[3]Stock actif'!$A:$K,11,0)</f>
        <v>Générique</v>
      </c>
    </row>
    <row r="265" spans="1:11" x14ac:dyDescent="0.35">
      <c r="A265" s="3">
        <v>3661</v>
      </c>
      <c r="B265" s="3" t="s">
        <v>270</v>
      </c>
      <c r="C265" s="3" t="s">
        <v>4</v>
      </c>
      <c r="D265" s="3" t="s">
        <v>5</v>
      </c>
      <c r="E265" s="3">
        <f>VLOOKUP(A265,[1]fnd_gfm_43298102!$B:$F,5,0)</f>
        <v>26</v>
      </c>
      <c r="F265" s="3">
        <f>VLOOKUP(A265,[4]fnd_gfm_43298103!$B:$F,5,0)</f>
        <v>457</v>
      </c>
      <c r="G265" s="3">
        <f t="shared" si="8"/>
        <v>483</v>
      </c>
      <c r="H265" s="3">
        <f>VLOOKUP(A265,'[2]CUMP Articles'!$A:$H,8,0)</f>
        <v>2268</v>
      </c>
      <c r="I265" s="3">
        <f t="shared" si="9"/>
        <v>1095444</v>
      </c>
      <c r="J265" s="3" t="str">
        <f>VLOOKUP(A265,'[3]Stock actif'!$A:$K,10,0)</f>
        <v>Oui</v>
      </c>
      <c r="K265" s="3" t="str">
        <f>VLOOKUP(A265,'[3]Stock actif'!$A:$K,11,0)</f>
        <v>Nexans</v>
      </c>
    </row>
    <row r="266" spans="1:11" x14ac:dyDescent="0.35">
      <c r="A266" s="3">
        <v>3696</v>
      </c>
      <c r="B266" s="3" t="s">
        <v>271</v>
      </c>
      <c r="C266" s="3" t="s">
        <v>4</v>
      </c>
      <c r="D266" s="3" t="s">
        <v>5</v>
      </c>
      <c r="E266" s="3">
        <f>VLOOKUP(A266,[1]fnd_gfm_43298102!$B:$F,5,0)</f>
        <v>1</v>
      </c>
      <c r="F266" s="3"/>
      <c r="G266" s="3">
        <f t="shared" si="8"/>
        <v>1</v>
      </c>
      <c r="H266" s="3">
        <f>VLOOKUP(A266,'[2]CUMP Articles'!$A:$H,8,0)</f>
        <v>50784.19094</v>
      </c>
      <c r="I266" s="3">
        <f t="shared" si="9"/>
        <v>50784.19094</v>
      </c>
      <c r="J266" s="3" t="str">
        <f>VLOOKUP(A266,'[3]Stock actif'!$A:$K,10,0)</f>
        <v>Oui</v>
      </c>
      <c r="K266" s="3" t="str">
        <f>VLOOKUP(A266,'[3]Stock actif'!$A:$K,11,0)</f>
        <v>Alcatel-Lucent</v>
      </c>
    </row>
    <row r="267" spans="1:11" x14ac:dyDescent="0.35">
      <c r="A267" s="3">
        <v>3698</v>
      </c>
      <c r="B267" s="3" t="s">
        <v>272</v>
      </c>
      <c r="C267" s="3" t="s">
        <v>4</v>
      </c>
      <c r="D267" s="3" t="s">
        <v>5</v>
      </c>
      <c r="E267" s="3">
        <f>VLOOKUP(A267,[1]fnd_gfm_43298102!$B:$F,5,0)</f>
        <v>3</v>
      </c>
      <c r="F267" s="3"/>
      <c r="G267" s="3">
        <f t="shared" si="8"/>
        <v>3</v>
      </c>
      <c r="H267" s="3">
        <f>VLOOKUP(A267,'[2]CUMP Articles'!$A:$H,8,0)</f>
        <v>544.53098576781599</v>
      </c>
      <c r="I267" s="3">
        <f t="shared" si="9"/>
        <v>1633.592957303448</v>
      </c>
      <c r="J267" s="3" t="str">
        <f>VLOOKUP(A267,'[3]Stock actif'!$A:$K,10,0)</f>
        <v>Oui</v>
      </c>
      <c r="K267" s="3" t="str">
        <f>VLOOKUP(A267,'[3]Stock actif'!$A:$K,11,0)</f>
        <v>Nexans</v>
      </c>
    </row>
    <row r="268" spans="1:11" x14ac:dyDescent="0.35">
      <c r="A268" s="3">
        <v>3700</v>
      </c>
      <c r="B268" s="3" t="s">
        <v>273</v>
      </c>
      <c r="C268" s="3" t="s">
        <v>4</v>
      </c>
      <c r="D268" s="3" t="s">
        <v>5</v>
      </c>
      <c r="E268" s="3">
        <f>VLOOKUP(A268,[1]fnd_gfm_43298102!$B:$F,5,0)</f>
        <v>1</v>
      </c>
      <c r="F268" s="3"/>
      <c r="G268" s="3">
        <f t="shared" si="8"/>
        <v>1</v>
      </c>
      <c r="H268" s="3">
        <f>VLOOKUP(A268,'[2]CUMP Articles'!$A:$H,8,0)</f>
        <v>29124</v>
      </c>
      <c r="I268" s="3">
        <f t="shared" si="9"/>
        <v>29124</v>
      </c>
      <c r="J268" s="3" t="str">
        <f>VLOOKUP(A268,'[3]Stock actif'!$A:$K,10,0)</f>
        <v>Oui</v>
      </c>
      <c r="K268" s="3" t="str">
        <f>VLOOKUP(A268,'[3]Stock actif'!$A:$K,11,0)</f>
        <v>Alcatel-Lucent</v>
      </c>
    </row>
    <row r="269" spans="1:11" x14ac:dyDescent="0.35">
      <c r="A269" s="3">
        <v>3701</v>
      </c>
      <c r="B269" s="3" t="s">
        <v>274</v>
      </c>
      <c r="C269" s="3" t="s">
        <v>4</v>
      </c>
      <c r="D269" s="3" t="s">
        <v>5</v>
      </c>
      <c r="E269" s="3"/>
      <c r="F269" s="3">
        <f>VLOOKUP(A269,[4]fnd_gfm_43298103!$B:$F,5,0)</f>
        <v>60</v>
      </c>
      <c r="G269" s="3">
        <f t="shared" si="8"/>
        <v>60</v>
      </c>
      <c r="H269" s="3">
        <f>VLOOKUP(A269,'[2]CUMP Articles'!$A:$H,8,0)</f>
        <v>1583</v>
      </c>
      <c r="I269" s="3">
        <f t="shared" si="9"/>
        <v>94980</v>
      </c>
      <c r="J269" s="3" t="str">
        <f>VLOOKUP(A269,'[3]Stock actif'!$A:$K,10,0)</f>
        <v>Oui</v>
      </c>
      <c r="K269" s="3" t="str">
        <f>VLOOKUP(A269,'[3]Stock actif'!$A:$K,11,0)</f>
        <v>Nexans</v>
      </c>
    </row>
    <row r="270" spans="1:11" x14ac:dyDescent="0.35">
      <c r="A270" s="3">
        <v>3702</v>
      </c>
      <c r="B270" s="3" t="s">
        <v>275</v>
      </c>
      <c r="C270" s="3" t="s">
        <v>4</v>
      </c>
      <c r="D270" s="3" t="s">
        <v>5</v>
      </c>
      <c r="E270" s="3">
        <f>VLOOKUP(A270,[1]fnd_gfm_43298102!$B:$F,5,0)</f>
        <v>1</v>
      </c>
      <c r="F270" s="3"/>
      <c r="G270" s="3">
        <f t="shared" si="8"/>
        <v>1</v>
      </c>
      <c r="H270" s="3">
        <f>VLOOKUP(A270,'[2]CUMP Articles'!$A:$H,8,0)</f>
        <v>249333</v>
      </c>
      <c r="I270" s="3">
        <f t="shared" si="9"/>
        <v>249333</v>
      </c>
      <c r="J270" s="3" t="str">
        <f>VLOOKUP(A270,'[3]Stock actif'!$A:$K,10,0)</f>
        <v>Oui</v>
      </c>
      <c r="K270" s="3" t="str">
        <f>VLOOKUP(A270,'[3]Stock actif'!$A:$K,11,0)</f>
        <v>Fortinet</v>
      </c>
    </row>
    <row r="271" spans="1:11" x14ac:dyDescent="0.35">
      <c r="A271" s="3">
        <v>3703</v>
      </c>
      <c r="B271" s="3" t="s">
        <v>276</v>
      </c>
      <c r="C271" s="3" t="s">
        <v>4</v>
      </c>
      <c r="D271" s="3" t="s">
        <v>5</v>
      </c>
      <c r="E271" s="3">
        <f>VLOOKUP(A271,[1]fnd_gfm_43298102!$B:$F,5,0)</f>
        <v>1</v>
      </c>
      <c r="F271" s="3">
        <f>VLOOKUP(A271,[4]fnd_gfm_43298103!$B:$F,5,0)</f>
        <v>3</v>
      </c>
      <c r="G271" s="3">
        <f t="shared" si="8"/>
        <v>4</v>
      </c>
      <c r="H271" s="3">
        <f>VLOOKUP(A271,'[2]CUMP Articles'!$A:$H,8,0)</f>
        <v>447000.24807854299</v>
      </c>
      <c r="I271" s="3">
        <f t="shared" si="9"/>
        <v>1788000.992314172</v>
      </c>
      <c r="J271" s="3" t="str">
        <f>VLOOKUP(A271,'[3]Stock actif'!$A:$K,10,0)</f>
        <v>Oui</v>
      </c>
      <c r="K271" s="3" t="str">
        <f>VLOOKUP(A271,'[3]Stock actif'!$A:$K,11,0)</f>
        <v>Fortinet</v>
      </c>
    </row>
    <row r="272" spans="1:11" x14ac:dyDescent="0.35">
      <c r="A272" s="3">
        <v>3713</v>
      </c>
      <c r="B272" s="3" t="s">
        <v>277</v>
      </c>
      <c r="C272" s="3" t="s">
        <v>4</v>
      </c>
      <c r="D272" s="3" t="s">
        <v>120</v>
      </c>
      <c r="E272" s="3"/>
      <c r="F272" s="3">
        <f>VLOOKUP(A272,[4]fnd_gfm_43298103!$B:$F,5,0)</f>
        <v>61</v>
      </c>
      <c r="G272" s="3">
        <f t="shared" si="8"/>
        <v>61</v>
      </c>
      <c r="H272" s="3">
        <f>VLOOKUP(A272,'[2]CUMP Articles'!$A:$H,8,0)</f>
        <v>1</v>
      </c>
      <c r="I272" s="3">
        <f t="shared" si="9"/>
        <v>61</v>
      </c>
      <c r="J272" s="3" t="str">
        <f>VLOOKUP(A272,'[3]Stock actif'!$A:$K,10,0)</f>
        <v>Non</v>
      </c>
      <c r="K272" s="3" t="str">
        <f>VLOOKUP(A272,'[3]Stock actif'!$A:$K,11,0)</f>
        <v>Générique</v>
      </c>
    </row>
    <row r="273" spans="1:11" x14ac:dyDescent="0.35">
      <c r="A273" s="3">
        <v>3729</v>
      </c>
      <c r="B273" s="3" t="s">
        <v>278</v>
      </c>
      <c r="C273" s="3" t="s">
        <v>4</v>
      </c>
      <c r="D273" s="3" t="s">
        <v>5</v>
      </c>
      <c r="E273" s="3">
        <f>VLOOKUP(A273,[1]fnd_gfm_43298102!$B:$F,5,0)</f>
        <v>1</v>
      </c>
      <c r="F273" s="3">
        <f>VLOOKUP(A273,[4]fnd_gfm_43298103!$B:$F,5,0)</f>
        <v>1</v>
      </c>
      <c r="G273" s="3">
        <f t="shared" si="8"/>
        <v>2</v>
      </c>
      <c r="H273" s="3">
        <f>VLOOKUP(A273,'[2]CUMP Articles'!$A:$H,8,0)</f>
        <v>284248</v>
      </c>
      <c r="I273" s="3">
        <f t="shared" si="9"/>
        <v>568496</v>
      </c>
      <c r="J273" s="3" t="str">
        <f>VLOOKUP(A273,'[3]Stock actif'!$A:$K,10,0)</f>
        <v>Oui</v>
      </c>
      <c r="K273" s="3" t="str">
        <f>VLOOKUP(A273,'[3]Stock actif'!$A:$K,11,0)</f>
        <v>Alcatel-Lucent</v>
      </c>
    </row>
    <row r="274" spans="1:11" x14ac:dyDescent="0.35">
      <c r="A274" s="3">
        <v>3732</v>
      </c>
      <c r="B274" s="3" t="s">
        <v>279</v>
      </c>
      <c r="C274" s="3" t="s">
        <v>4</v>
      </c>
      <c r="D274" s="3" t="s">
        <v>5</v>
      </c>
      <c r="E274" s="3"/>
      <c r="F274" s="3">
        <f>VLOOKUP(A274,[4]fnd_gfm_43298103!$B:$F,5,0)</f>
        <v>10</v>
      </c>
      <c r="G274" s="3">
        <f t="shared" si="8"/>
        <v>10</v>
      </c>
      <c r="H274" s="3">
        <f>VLOOKUP(A274,'[2]CUMP Articles'!$A:$H,8,0)</f>
        <v>4920</v>
      </c>
      <c r="I274" s="3">
        <f t="shared" si="9"/>
        <v>49200</v>
      </c>
      <c r="J274" s="3" t="str">
        <f>VLOOKUP(A274,'[3]Stock actif'!$A:$K,10,0)</f>
        <v>Oui</v>
      </c>
      <c r="K274" s="3" t="str">
        <f>VLOOKUP(A274,'[3]Stock actif'!$A:$K,11,0)</f>
        <v>Générique</v>
      </c>
    </row>
    <row r="275" spans="1:11" x14ac:dyDescent="0.35">
      <c r="A275" s="3">
        <v>3733</v>
      </c>
      <c r="B275" s="3" t="s">
        <v>280</v>
      </c>
      <c r="C275" s="3" t="s">
        <v>4</v>
      </c>
      <c r="D275" s="3" t="s">
        <v>5</v>
      </c>
      <c r="E275" s="3"/>
      <c r="F275" s="3">
        <f>VLOOKUP(A275,[4]fnd_gfm_43298103!$B:$F,5,0)</f>
        <v>6</v>
      </c>
      <c r="G275" s="3">
        <f t="shared" si="8"/>
        <v>6</v>
      </c>
      <c r="H275" s="3">
        <f>VLOOKUP(A275,'[2]CUMP Articles'!$A:$H,8,0)</f>
        <v>24926.366000000002</v>
      </c>
      <c r="I275" s="3">
        <f t="shared" si="9"/>
        <v>149558.196</v>
      </c>
      <c r="J275" s="3" t="str">
        <f>VLOOKUP(A275,'[3]Stock actif'!$A:$K,10,0)</f>
        <v>Oui</v>
      </c>
      <c r="K275" s="3" t="str">
        <f>VLOOKUP(A275,'[3]Stock actif'!$A:$K,11,0)</f>
        <v>Nexans</v>
      </c>
    </row>
    <row r="276" spans="1:11" x14ac:dyDescent="0.35">
      <c r="A276" s="3">
        <v>3735</v>
      </c>
      <c r="B276" s="3" t="s">
        <v>281</v>
      </c>
      <c r="C276" s="3" t="s">
        <v>4</v>
      </c>
      <c r="D276" s="3" t="s">
        <v>5</v>
      </c>
      <c r="E276" s="3">
        <f>VLOOKUP(A276,[1]fnd_gfm_43298102!$B:$F,5,0)</f>
        <v>3</v>
      </c>
      <c r="F276" s="3">
        <f>VLOOKUP(A276,[4]fnd_gfm_43298103!$B:$F,5,0)</f>
        <v>35</v>
      </c>
      <c r="G276" s="3">
        <f t="shared" si="8"/>
        <v>38</v>
      </c>
      <c r="H276" s="3">
        <f>VLOOKUP(A276,'[2]CUMP Articles'!$A:$H,8,0)</f>
        <v>180196.76176634099</v>
      </c>
      <c r="I276" s="3">
        <f t="shared" si="9"/>
        <v>6847476.947120958</v>
      </c>
      <c r="J276" s="3" t="str">
        <f>VLOOKUP(A276,'[3]Stock actif'!$A:$K,10,0)</f>
        <v>Oui</v>
      </c>
      <c r="K276" s="3" t="str">
        <f>VLOOKUP(A276,'[3]Stock actif'!$A:$K,11,0)</f>
        <v>Alcatel-Lucent</v>
      </c>
    </row>
    <row r="277" spans="1:11" x14ac:dyDescent="0.35">
      <c r="A277" s="3">
        <v>3736</v>
      </c>
      <c r="B277" s="3" t="s">
        <v>282</v>
      </c>
      <c r="C277" s="3" t="s">
        <v>4</v>
      </c>
      <c r="D277" s="3" t="s">
        <v>5</v>
      </c>
      <c r="E277" s="3">
        <f>VLOOKUP(A277,[1]fnd_gfm_43298102!$B:$F,5,0)</f>
        <v>10</v>
      </c>
      <c r="F277" s="3">
        <f>VLOOKUP(A277,[4]fnd_gfm_43298103!$B:$F,5,0)</f>
        <v>34</v>
      </c>
      <c r="G277" s="3">
        <f t="shared" si="8"/>
        <v>44</v>
      </c>
      <c r="H277" s="3">
        <f>VLOOKUP(A277,'[2]CUMP Articles'!$A:$H,8,0)</f>
        <v>79010</v>
      </c>
      <c r="I277" s="3">
        <f t="shared" si="9"/>
        <v>3476440</v>
      </c>
      <c r="J277" s="3" t="str">
        <f>VLOOKUP(A277,'[3]Stock actif'!$A:$K,10,0)</f>
        <v>Oui</v>
      </c>
      <c r="K277" s="3" t="str">
        <f>VLOOKUP(A277,'[3]Stock actif'!$A:$K,11,0)</f>
        <v>Générique</v>
      </c>
    </row>
    <row r="278" spans="1:11" x14ac:dyDescent="0.35">
      <c r="A278" s="3">
        <v>3737</v>
      </c>
      <c r="B278" s="3" t="s">
        <v>283</v>
      </c>
      <c r="C278" s="3" t="s">
        <v>4</v>
      </c>
      <c r="D278" s="3" t="s">
        <v>5</v>
      </c>
      <c r="E278" s="3"/>
      <c r="F278" s="3">
        <f>VLOOKUP(A278,[4]fnd_gfm_43298103!$B:$F,5,0)</f>
        <v>1</v>
      </c>
      <c r="G278" s="3">
        <f t="shared" si="8"/>
        <v>1</v>
      </c>
      <c r="H278" s="3">
        <f>VLOOKUP(A278,'[2]CUMP Articles'!$A:$H,8,0)</f>
        <v>152352.57282</v>
      </c>
      <c r="I278" s="3">
        <f t="shared" si="9"/>
        <v>152352.57282</v>
      </c>
      <c r="J278" s="3" t="str">
        <f>VLOOKUP(A278,'[3]Stock actif'!$A:$K,10,0)</f>
        <v>Oui</v>
      </c>
      <c r="K278" s="3" t="str">
        <f>VLOOKUP(A278,'[3]Stock actif'!$A:$K,11,0)</f>
        <v>Alcatel-Lucent</v>
      </c>
    </row>
    <row r="279" spans="1:11" x14ac:dyDescent="0.35">
      <c r="A279" s="3">
        <v>3740</v>
      </c>
      <c r="B279" s="3" t="s">
        <v>284</v>
      </c>
      <c r="C279" s="3" t="s">
        <v>4</v>
      </c>
      <c r="D279" s="3" t="s">
        <v>5</v>
      </c>
      <c r="E279" s="3">
        <f>VLOOKUP(A279,[1]fnd_gfm_43298102!$B:$F,5,0)</f>
        <v>2</v>
      </c>
      <c r="F279" s="3">
        <f>VLOOKUP(A279,[4]fnd_gfm_43298103!$B:$F,5,0)</f>
        <v>2</v>
      </c>
      <c r="G279" s="3">
        <f t="shared" si="8"/>
        <v>4</v>
      </c>
      <c r="H279" s="3">
        <f>VLOOKUP(A279,'[2]CUMP Articles'!$A:$H,8,0)</f>
        <v>2249291.65002352</v>
      </c>
      <c r="I279" s="3">
        <f t="shared" si="9"/>
        <v>8997166.60009408</v>
      </c>
      <c r="J279" s="3" t="str">
        <f>VLOOKUP(A279,'[3]Stock actif'!$A:$K,10,0)</f>
        <v>Oui</v>
      </c>
      <c r="K279" s="3" t="str">
        <f>VLOOKUP(A279,'[3]Stock actif'!$A:$K,11,0)</f>
        <v>Alcatel-Lucent</v>
      </c>
    </row>
    <row r="280" spans="1:11" x14ac:dyDescent="0.35">
      <c r="A280" s="3">
        <v>3741</v>
      </c>
      <c r="B280" s="3" t="s">
        <v>285</v>
      </c>
      <c r="C280" s="3" t="s">
        <v>4</v>
      </c>
      <c r="D280" s="3" t="s">
        <v>5</v>
      </c>
      <c r="E280" s="3">
        <f>VLOOKUP(A280,[1]fnd_gfm_43298102!$B:$F,5,0)</f>
        <v>1</v>
      </c>
      <c r="F280" s="3">
        <f>VLOOKUP(A280,[4]fnd_gfm_43298103!$B:$F,5,0)</f>
        <v>9</v>
      </c>
      <c r="G280" s="3">
        <f t="shared" si="8"/>
        <v>10</v>
      </c>
      <c r="H280" s="3">
        <f>VLOOKUP(A280,'[2]CUMP Articles'!$A:$H,8,0)</f>
        <v>389723.49060000002</v>
      </c>
      <c r="I280" s="3">
        <f t="shared" si="9"/>
        <v>3897234.9060000004</v>
      </c>
      <c r="J280" s="3" t="str">
        <f>VLOOKUP(A280,'[3]Stock actif'!$A:$K,10,0)</f>
        <v>Oui</v>
      </c>
      <c r="K280" s="3" t="str">
        <f>VLOOKUP(A280,'[3]Stock actif'!$A:$K,11,0)</f>
        <v>Alcatel-Lucent</v>
      </c>
    </row>
    <row r="281" spans="1:11" x14ac:dyDescent="0.35">
      <c r="A281" s="3">
        <v>3744</v>
      </c>
      <c r="B281" s="3" t="s">
        <v>286</v>
      </c>
      <c r="C281" s="3" t="s">
        <v>4</v>
      </c>
      <c r="D281" s="3" t="s">
        <v>5</v>
      </c>
      <c r="E281" s="3"/>
      <c r="F281" s="3">
        <f>VLOOKUP(A281,[4]fnd_gfm_43298103!$B:$F,5,0)</f>
        <v>2</v>
      </c>
      <c r="G281" s="3">
        <f t="shared" si="8"/>
        <v>2</v>
      </c>
      <c r="H281" s="3">
        <f>VLOOKUP(A281,'[2]CUMP Articles'!$A:$H,8,0)</f>
        <v>85089.376761142805</v>
      </c>
      <c r="I281" s="3">
        <f t="shared" si="9"/>
        <v>170178.75352228561</v>
      </c>
      <c r="J281" s="3" t="str">
        <f>VLOOKUP(A281,'[3]Stock actif'!$A:$K,10,0)</f>
        <v>Oui</v>
      </c>
      <c r="K281" s="3" t="str">
        <f>VLOOKUP(A281,'[3]Stock actif'!$A:$K,11,0)</f>
        <v>Générique</v>
      </c>
    </row>
    <row r="282" spans="1:11" x14ac:dyDescent="0.35">
      <c r="A282" s="3">
        <v>3745</v>
      </c>
      <c r="B282" s="3" t="s">
        <v>287</v>
      </c>
      <c r="C282" s="3" t="s">
        <v>4</v>
      </c>
      <c r="D282" s="3" t="s">
        <v>5</v>
      </c>
      <c r="E282" s="3">
        <f>VLOOKUP(A282,[1]fnd_gfm_43298102!$B:$F,5,0)</f>
        <v>3</v>
      </c>
      <c r="F282" s="3">
        <f>VLOOKUP(A282,[4]fnd_gfm_43298103!$B:$F,5,0)</f>
        <v>5</v>
      </c>
      <c r="G282" s="3">
        <f t="shared" si="8"/>
        <v>8</v>
      </c>
      <c r="H282" s="3">
        <f>VLOOKUP(A282,'[2]CUMP Articles'!$A:$H,8,0)</f>
        <v>177423.24935999999</v>
      </c>
      <c r="I282" s="3">
        <f t="shared" si="9"/>
        <v>1419385.9948799999</v>
      </c>
      <c r="J282" s="3" t="str">
        <f>VLOOKUP(A282,'[3]Stock actif'!$A:$K,10,0)</f>
        <v>Oui</v>
      </c>
      <c r="K282" s="3" t="str">
        <f>VLOOKUP(A282,'[3]Stock actif'!$A:$K,11,0)</f>
        <v>Alcatel-Lucent</v>
      </c>
    </row>
    <row r="283" spans="1:11" x14ac:dyDescent="0.35">
      <c r="A283" s="3">
        <v>3748</v>
      </c>
      <c r="B283" s="3" t="s">
        <v>288</v>
      </c>
      <c r="C283" s="3" t="s">
        <v>4</v>
      </c>
      <c r="D283" s="3" t="s">
        <v>5</v>
      </c>
      <c r="E283" s="3"/>
      <c r="F283" s="3">
        <f>VLOOKUP(A283,[4]fnd_gfm_43298103!$B:$F,5,0)</f>
        <v>44</v>
      </c>
      <c r="G283" s="3">
        <f t="shared" si="8"/>
        <v>44</v>
      </c>
      <c r="H283" s="3">
        <f>VLOOKUP(A283,'[2]CUMP Articles'!$A:$H,8,0)</f>
        <v>33219.652560000002</v>
      </c>
      <c r="I283" s="3">
        <f t="shared" si="9"/>
        <v>1461664.71264</v>
      </c>
      <c r="J283" s="3" t="str">
        <f>VLOOKUP(A283,'[3]Stock actif'!$A:$K,10,0)</f>
        <v>Oui</v>
      </c>
      <c r="K283" s="3" t="str">
        <f>VLOOKUP(A283,'[3]Stock actif'!$A:$K,11,0)</f>
        <v>Grandstream</v>
      </c>
    </row>
    <row r="284" spans="1:11" x14ac:dyDescent="0.35">
      <c r="A284" s="3">
        <v>3756</v>
      </c>
      <c r="B284" s="3" t="s">
        <v>289</v>
      </c>
      <c r="C284" s="3" t="s">
        <v>4</v>
      </c>
      <c r="D284" s="3" t="s">
        <v>5</v>
      </c>
      <c r="E284" s="3"/>
      <c r="F284" s="3">
        <f>VLOOKUP(A284,[4]fnd_gfm_43298103!$B:$F,5,0)</f>
        <v>1652</v>
      </c>
      <c r="G284" s="3">
        <f t="shared" si="8"/>
        <v>1652</v>
      </c>
      <c r="H284" s="3">
        <f>VLOOKUP(A284,'[2]CUMP Articles'!$A:$H,8,0)</f>
        <v>5561.0467878379905</v>
      </c>
      <c r="I284" s="3">
        <f t="shared" si="9"/>
        <v>9186849.2935083602</v>
      </c>
      <c r="J284" s="3" t="str">
        <f>VLOOKUP(A284,'[3]Stock actif'!$A:$K,10,0)</f>
        <v>Oui</v>
      </c>
      <c r="K284" s="3" t="str">
        <f>VLOOKUP(A284,'[3]Stock actif'!$A:$K,11,0)</f>
        <v>Nexans</v>
      </c>
    </row>
    <row r="285" spans="1:11" x14ac:dyDescent="0.35">
      <c r="A285" s="3">
        <v>3757</v>
      </c>
      <c r="B285" s="3" t="s">
        <v>290</v>
      </c>
      <c r="C285" s="3" t="s">
        <v>4</v>
      </c>
      <c r="D285" s="3" t="s">
        <v>5</v>
      </c>
      <c r="E285" s="3"/>
      <c r="F285" s="3">
        <f>VLOOKUP(A285,[4]fnd_gfm_43298103!$B:$F,5,0)</f>
        <v>3</v>
      </c>
      <c r="G285" s="3">
        <f t="shared" si="8"/>
        <v>3</v>
      </c>
      <c r="H285" s="3">
        <f>VLOOKUP(A285,'[2]CUMP Articles'!$A:$H,8,0)</f>
        <v>883209</v>
      </c>
      <c r="I285" s="3">
        <f t="shared" si="9"/>
        <v>2649627</v>
      </c>
      <c r="J285" s="3" t="str">
        <f>VLOOKUP(A285,'[3]Stock actif'!$A:$K,10,0)</f>
        <v>Oui</v>
      </c>
      <c r="K285" s="3" t="str">
        <f>VLOOKUP(A285,'[3]Stock actif'!$A:$K,11,0)</f>
        <v>Alcatel-Lucent</v>
      </c>
    </row>
    <row r="286" spans="1:11" x14ac:dyDescent="0.35">
      <c r="A286" s="3">
        <v>3794</v>
      </c>
      <c r="B286" s="3" t="s">
        <v>291</v>
      </c>
      <c r="C286" s="3" t="s">
        <v>4</v>
      </c>
      <c r="D286" s="3" t="s">
        <v>5</v>
      </c>
      <c r="E286" s="3">
        <f>VLOOKUP(A286,[1]fnd_gfm_43298102!$B:$F,5,0)</f>
        <v>2</v>
      </c>
      <c r="F286" s="3">
        <f>VLOOKUP(A286,[4]fnd_gfm_43298103!$B:$F,5,0)</f>
        <v>4</v>
      </c>
      <c r="G286" s="3">
        <f t="shared" si="8"/>
        <v>6</v>
      </c>
      <c r="H286" s="3">
        <f>VLOOKUP(A286,'[2]CUMP Articles'!$A:$H,8,0)</f>
        <v>95839</v>
      </c>
      <c r="I286" s="3">
        <f t="shared" si="9"/>
        <v>575034</v>
      </c>
      <c r="J286" s="3" t="str">
        <f>VLOOKUP(A286,'[3]Stock actif'!$A:$K,10,0)</f>
        <v>Oui</v>
      </c>
      <c r="K286" s="3" t="str">
        <f>VLOOKUP(A286,'[3]Stock actif'!$A:$K,11,0)</f>
        <v>Alcatel-Lucent</v>
      </c>
    </row>
    <row r="287" spans="1:11" x14ac:dyDescent="0.35">
      <c r="A287" s="3">
        <v>3874</v>
      </c>
      <c r="B287" s="3" t="s">
        <v>292</v>
      </c>
      <c r="C287" s="3" t="s">
        <v>4</v>
      </c>
      <c r="D287" s="3" t="s">
        <v>5</v>
      </c>
      <c r="E287" s="3"/>
      <c r="F287" s="3">
        <f>VLOOKUP(A287,[4]fnd_gfm_43298103!$B:$F,5,0)</f>
        <v>1</v>
      </c>
      <c r="G287" s="3">
        <f t="shared" si="8"/>
        <v>1</v>
      </c>
      <c r="H287" s="3">
        <f>VLOOKUP(A287,'[2]CUMP Articles'!$A:$H,8,0)</f>
        <v>35422</v>
      </c>
      <c r="I287" s="3">
        <f t="shared" si="9"/>
        <v>35422</v>
      </c>
      <c r="J287" s="3" t="str">
        <f>VLOOKUP(A287,'[3]Stock actif'!$A:$K,10,0)</f>
        <v>Oui</v>
      </c>
      <c r="K287" s="3" t="str">
        <f>VLOOKUP(A287,'[3]Stock actif'!$A:$K,11,0)</f>
        <v>Générique</v>
      </c>
    </row>
    <row r="288" spans="1:11" x14ac:dyDescent="0.35">
      <c r="A288" s="3">
        <v>3876</v>
      </c>
      <c r="B288" s="3" t="s">
        <v>293</v>
      </c>
      <c r="C288" s="3" t="s">
        <v>4</v>
      </c>
      <c r="D288" s="3" t="s">
        <v>120</v>
      </c>
      <c r="E288" s="3">
        <f>VLOOKUP(A288,[1]fnd_gfm_43298102!$B:$F,5,0)</f>
        <v>42</v>
      </c>
      <c r="F288" s="3">
        <f>VLOOKUP(A288,[4]fnd_gfm_43298103!$B:$F,5,0)</f>
        <v>6377</v>
      </c>
      <c r="G288" s="3">
        <f t="shared" si="8"/>
        <v>6419</v>
      </c>
      <c r="H288" s="3">
        <f>VLOOKUP(A288,'[2]CUMP Articles'!$A:$H,8,0)</f>
        <v>3967.04616690693</v>
      </c>
      <c r="I288" s="3">
        <f t="shared" si="9"/>
        <v>25464469.345375583</v>
      </c>
      <c r="J288" s="3" t="str">
        <f>VLOOKUP(A288,'[3]Stock actif'!$A:$K,10,0)</f>
        <v>Oui</v>
      </c>
      <c r="K288" s="3" t="str">
        <f>VLOOKUP(A288,'[3]Stock actif'!$A:$K,11,0)</f>
        <v>Nexans</v>
      </c>
    </row>
    <row r="289" spans="1:11" x14ac:dyDescent="0.35">
      <c r="A289" s="3">
        <v>3879</v>
      </c>
      <c r="B289" s="3" t="s">
        <v>294</v>
      </c>
      <c r="C289" s="3" t="s">
        <v>4</v>
      </c>
      <c r="D289" s="3" t="s">
        <v>120</v>
      </c>
      <c r="E289" s="3"/>
      <c r="F289" s="3">
        <f>VLOOKUP(A289,[4]fnd_gfm_43298103!$B:$F,5,0)</f>
        <v>1</v>
      </c>
      <c r="G289" s="3">
        <f t="shared" si="8"/>
        <v>1</v>
      </c>
      <c r="H289" s="3">
        <f>VLOOKUP(A289,'[2]CUMP Articles'!$A:$H,8,0)</f>
        <v>64008</v>
      </c>
      <c r="I289" s="3">
        <f t="shared" si="9"/>
        <v>64008</v>
      </c>
      <c r="J289" s="3" t="str">
        <f>VLOOKUP(A289,'[3]Stock actif'!$A:$K,10,0)</f>
        <v>Oui</v>
      </c>
      <c r="K289" s="3" t="str">
        <f>VLOOKUP(A289,'[3]Stock actif'!$A:$K,11,0)</f>
        <v>Générique</v>
      </c>
    </row>
    <row r="290" spans="1:11" x14ac:dyDescent="0.35">
      <c r="A290" s="3">
        <v>3880</v>
      </c>
      <c r="B290" s="3" t="s">
        <v>295</v>
      </c>
      <c r="C290" s="3" t="s">
        <v>4</v>
      </c>
      <c r="D290" s="3" t="s">
        <v>120</v>
      </c>
      <c r="E290" s="3"/>
      <c r="F290" s="3">
        <f>VLOOKUP(A290,[4]fnd_gfm_43298103!$B:$F,5,0)</f>
        <v>4</v>
      </c>
      <c r="G290" s="3">
        <f t="shared" si="8"/>
        <v>4</v>
      </c>
      <c r="H290" s="3">
        <f>VLOOKUP(A290,'[2]CUMP Articles'!$A:$H,8,0)</f>
        <v>25687.218395783999</v>
      </c>
      <c r="I290" s="3">
        <f t="shared" si="9"/>
        <v>102748.873583136</v>
      </c>
      <c r="J290" s="3" t="str">
        <f>VLOOKUP(A290,'[3]Stock actif'!$A:$K,10,0)</f>
        <v>Oui</v>
      </c>
      <c r="K290" s="3" t="str">
        <f>VLOOKUP(A290,'[3]Stock actif'!$A:$K,11,0)</f>
        <v>Cisco</v>
      </c>
    </row>
    <row r="291" spans="1:11" x14ac:dyDescent="0.35">
      <c r="A291" s="3">
        <v>3890</v>
      </c>
      <c r="B291" s="3" t="s">
        <v>296</v>
      </c>
      <c r="C291" s="3" t="s">
        <v>4</v>
      </c>
      <c r="D291" s="3" t="s">
        <v>5</v>
      </c>
      <c r="E291" s="3"/>
      <c r="F291" s="3">
        <f>VLOOKUP(A291,[4]fnd_gfm_43298103!$B:$F,5,0)</f>
        <v>19</v>
      </c>
      <c r="G291" s="3">
        <f t="shared" si="8"/>
        <v>19</v>
      </c>
      <c r="H291" s="3">
        <f>VLOOKUP(A291,'[2]CUMP Articles'!$A:$H,8,0)</f>
        <v>244673</v>
      </c>
      <c r="I291" s="3">
        <f t="shared" si="9"/>
        <v>4648787</v>
      </c>
      <c r="J291" s="3" t="str">
        <f>VLOOKUP(A291,'[3]Stock actif'!$A:$K,10,0)</f>
        <v>Oui</v>
      </c>
      <c r="K291" s="3" t="str">
        <f>VLOOKUP(A291,'[3]Stock actif'!$A:$K,11,0)</f>
        <v>Alcatel-Lucent</v>
      </c>
    </row>
    <row r="292" spans="1:11" x14ac:dyDescent="0.35">
      <c r="A292" s="3">
        <v>3914</v>
      </c>
      <c r="B292" s="3" t="s">
        <v>297</v>
      </c>
      <c r="C292" s="3" t="s">
        <v>4</v>
      </c>
      <c r="D292" s="3" t="s">
        <v>5</v>
      </c>
      <c r="E292" s="3">
        <f>VLOOKUP(A292,[1]fnd_gfm_43298102!$B:$F,5,0)</f>
        <v>160</v>
      </c>
      <c r="F292" s="3">
        <f>VLOOKUP(A292,[4]fnd_gfm_43298103!$B:$F,5,0)</f>
        <v>35</v>
      </c>
      <c r="G292" s="3">
        <f t="shared" si="8"/>
        <v>195</v>
      </c>
      <c r="H292" s="3">
        <f>VLOOKUP(A292,'[2]CUMP Articles'!$A:$H,8,0)</f>
        <v>12342.3851433364</v>
      </c>
      <c r="I292" s="3">
        <f t="shared" si="9"/>
        <v>2406765.1029505981</v>
      </c>
      <c r="J292" s="3" t="str">
        <f>VLOOKUP(A292,'[3]Stock actif'!$A:$K,10,0)</f>
        <v>Oui</v>
      </c>
      <c r="K292" s="3" t="str">
        <f>VLOOKUP(A292,'[3]Stock actif'!$A:$K,11,0)</f>
        <v>Alcatel-Lucent</v>
      </c>
    </row>
    <row r="293" spans="1:11" x14ac:dyDescent="0.35">
      <c r="A293" s="3">
        <v>3934</v>
      </c>
      <c r="B293" s="3" t="s">
        <v>298</v>
      </c>
      <c r="C293" s="3" t="s">
        <v>4</v>
      </c>
      <c r="D293" s="3" t="s">
        <v>120</v>
      </c>
      <c r="E293" s="3">
        <f>VLOOKUP(A293,[1]fnd_gfm_43298102!$B:$F,5,0)</f>
        <v>4</v>
      </c>
      <c r="F293" s="3">
        <f>VLOOKUP(A293,[4]fnd_gfm_43298103!$B:$F,5,0)</f>
        <v>448</v>
      </c>
      <c r="G293" s="3">
        <f t="shared" si="8"/>
        <v>452</v>
      </c>
      <c r="H293" s="3">
        <f>VLOOKUP(A293,'[2]CUMP Articles'!$A:$H,8,0)</f>
        <v>98108.0619480639</v>
      </c>
      <c r="I293" s="3">
        <f t="shared" si="9"/>
        <v>44344844.000524886</v>
      </c>
      <c r="J293" s="3" t="str">
        <f>VLOOKUP(A293,'[3]Stock actif'!$A:$K,10,0)</f>
        <v>Oui</v>
      </c>
      <c r="K293" s="3" t="str">
        <f>VLOOKUP(A293,'[3]Stock actif'!$A:$K,11,0)</f>
        <v>Alcatel-Lucent</v>
      </c>
    </row>
    <row r="294" spans="1:11" x14ac:dyDescent="0.35">
      <c r="A294" s="3">
        <v>3935</v>
      </c>
      <c r="B294" s="3" t="s">
        <v>299</v>
      </c>
      <c r="C294" s="3" t="s">
        <v>4</v>
      </c>
      <c r="D294" s="3" t="s">
        <v>5</v>
      </c>
      <c r="E294" s="3">
        <f>VLOOKUP(A294,[1]fnd_gfm_43298102!$B:$F,5,0)</f>
        <v>2</v>
      </c>
      <c r="F294" s="3"/>
      <c r="G294" s="3">
        <f t="shared" si="8"/>
        <v>2</v>
      </c>
      <c r="H294" s="3">
        <f>VLOOKUP(A294,'[2]CUMP Articles'!$A:$H,8,0)</f>
        <v>118051</v>
      </c>
      <c r="I294" s="3">
        <f t="shared" si="9"/>
        <v>236102</v>
      </c>
      <c r="J294" s="3" t="str">
        <f>VLOOKUP(A294,'[3]Stock actif'!$A:$K,10,0)</f>
        <v>Oui</v>
      </c>
      <c r="K294" s="3" t="str">
        <f>VLOOKUP(A294,'[3]Stock actif'!$A:$K,11,0)</f>
        <v>Alcatel-Lucent</v>
      </c>
    </row>
    <row r="295" spans="1:11" x14ac:dyDescent="0.35">
      <c r="A295" s="3">
        <v>3957</v>
      </c>
      <c r="B295" s="3" t="s">
        <v>300</v>
      </c>
      <c r="C295" s="3" t="s">
        <v>4</v>
      </c>
      <c r="D295" s="3" t="s">
        <v>5</v>
      </c>
      <c r="E295" s="3">
        <f>VLOOKUP(A295,[1]fnd_gfm_43298102!$B:$F,5,0)</f>
        <v>30</v>
      </c>
      <c r="F295" s="3">
        <f>VLOOKUP(A295,[4]fnd_gfm_43298103!$B:$F,5,0)</f>
        <v>43</v>
      </c>
      <c r="G295" s="3">
        <f t="shared" si="8"/>
        <v>73</v>
      </c>
      <c r="H295" s="3">
        <f>VLOOKUP(A295,'[2]CUMP Articles'!$A:$H,8,0)</f>
        <v>4988</v>
      </c>
      <c r="I295" s="3">
        <f t="shared" si="9"/>
        <v>364124</v>
      </c>
      <c r="J295" s="3" t="str">
        <f>VLOOKUP(A295,'[3]Stock actif'!$A:$K,10,0)</f>
        <v>Oui</v>
      </c>
      <c r="K295" s="3" t="str">
        <f>VLOOKUP(A295,'[3]Stock actif'!$A:$K,11,0)</f>
        <v>Nexans</v>
      </c>
    </row>
    <row r="296" spans="1:11" x14ac:dyDescent="0.35">
      <c r="A296" s="3">
        <v>3958</v>
      </c>
      <c r="B296" s="3" t="s">
        <v>301</v>
      </c>
      <c r="C296" s="3" t="s">
        <v>4</v>
      </c>
      <c r="D296" s="3" t="s">
        <v>5</v>
      </c>
      <c r="E296" s="3"/>
      <c r="F296" s="3">
        <f>VLOOKUP(A296,[4]fnd_gfm_43298103!$B:$F,5,0)</f>
        <v>85</v>
      </c>
      <c r="G296" s="3">
        <f t="shared" si="8"/>
        <v>85</v>
      </c>
      <c r="H296" s="3">
        <f>VLOOKUP(A296,'[2]CUMP Articles'!$A:$H,8,0)</f>
        <v>4631.0564000000004</v>
      </c>
      <c r="I296" s="3">
        <f t="shared" si="9"/>
        <v>393639.79400000005</v>
      </c>
      <c r="J296" s="3" t="str">
        <f>VLOOKUP(A296,'[3]Stock actif'!$A:$K,10,0)</f>
        <v>Oui</v>
      </c>
      <c r="K296" s="3" t="str">
        <f>VLOOKUP(A296,'[3]Stock actif'!$A:$K,11,0)</f>
        <v>Nexans</v>
      </c>
    </row>
    <row r="297" spans="1:11" x14ac:dyDescent="0.35">
      <c r="A297" s="3">
        <v>4014</v>
      </c>
      <c r="B297" s="3" t="s">
        <v>302</v>
      </c>
      <c r="C297" s="3" t="s">
        <v>4</v>
      </c>
      <c r="D297" s="3" t="s">
        <v>120</v>
      </c>
      <c r="E297" s="3">
        <f>VLOOKUP(A297,[1]fnd_gfm_43298102!$B:$F,5,0)</f>
        <v>28</v>
      </c>
      <c r="F297" s="3"/>
      <c r="G297" s="3">
        <f t="shared" si="8"/>
        <v>28</v>
      </c>
      <c r="H297" s="3">
        <f>VLOOKUP(A297,'[2]CUMP Articles'!$A:$H,8,0)</f>
        <v>9200</v>
      </c>
      <c r="I297" s="3">
        <f t="shared" si="9"/>
        <v>257600</v>
      </c>
      <c r="J297" s="3" t="str">
        <f>VLOOKUP(A297,'[3]Stock actif'!$A:$K,10,0)</f>
        <v>Non</v>
      </c>
      <c r="K297" s="3" t="str">
        <f>VLOOKUP(A297,'[3]Stock actif'!$A:$K,11,0)</f>
        <v>Générique</v>
      </c>
    </row>
    <row r="298" spans="1:11" x14ac:dyDescent="0.35">
      <c r="A298" s="3">
        <v>4092</v>
      </c>
      <c r="B298" s="3" t="s">
        <v>303</v>
      </c>
      <c r="C298" s="3" t="s">
        <v>4</v>
      </c>
      <c r="D298" s="3" t="s">
        <v>5</v>
      </c>
      <c r="E298" s="3"/>
      <c r="F298" s="3">
        <f>VLOOKUP(A298,[4]fnd_gfm_43298103!$B:$F,5,0)</f>
        <v>6</v>
      </c>
      <c r="G298" s="3">
        <f t="shared" si="8"/>
        <v>6</v>
      </c>
      <c r="H298" s="3">
        <f>VLOOKUP(A298,'[2]CUMP Articles'!$A:$H,8,0)</f>
        <v>4657</v>
      </c>
      <c r="I298" s="3">
        <f t="shared" si="9"/>
        <v>27942</v>
      </c>
      <c r="J298" s="3" t="str">
        <f>VLOOKUP(A298,'[3]Stock actif'!$A:$K,10,0)</f>
        <v>Oui</v>
      </c>
      <c r="K298" s="3" t="str">
        <f>VLOOKUP(A298,'[3]Stock actif'!$A:$K,11,0)</f>
        <v>Générique</v>
      </c>
    </row>
    <row r="299" spans="1:11" x14ac:dyDescent="0.35">
      <c r="A299" s="3">
        <v>4170</v>
      </c>
      <c r="B299" s="3" t="s">
        <v>304</v>
      </c>
      <c r="C299" s="3" t="s">
        <v>4</v>
      </c>
      <c r="D299" s="3" t="s">
        <v>5</v>
      </c>
      <c r="E299" s="3">
        <f>VLOOKUP(A299,[1]fnd_gfm_43298102!$B:$F,5,0)</f>
        <v>2</v>
      </c>
      <c r="F299" s="3">
        <f>VLOOKUP(A299,[4]fnd_gfm_43298103!$B:$F,5,0)</f>
        <v>8</v>
      </c>
      <c r="G299" s="3">
        <f t="shared" si="8"/>
        <v>10</v>
      </c>
      <c r="H299" s="3">
        <f>VLOOKUP(A299,'[2]CUMP Articles'!$A:$H,8,0)</f>
        <v>972433.860844207</v>
      </c>
      <c r="I299" s="3">
        <f t="shared" si="9"/>
        <v>9724338.60844207</v>
      </c>
      <c r="J299" s="3" t="str">
        <f>VLOOKUP(A299,'[3]Stock actif'!$A:$K,10,0)</f>
        <v>Oui</v>
      </c>
      <c r="K299" s="3" t="str">
        <f>VLOOKUP(A299,'[3]Stock actif'!$A:$K,11,0)</f>
        <v>Cisco</v>
      </c>
    </row>
    <row r="300" spans="1:11" x14ac:dyDescent="0.35">
      <c r="A300" s="3">
        <v>4174</v>
      </c>
      <c r="B300" s="3" t="s">
        <v>305</v>
      </c>
      <c r="C300" s="3" t="s">
        <v>4</v>
      </c>
      <c r="D300" s="3" t="s">
        <v>5</v>
      </c>
      <c r="E300" s="3">
        <f>VLOOKUP(A300,[1]fnd_gfm_43298102!$B:$F,5,0)</f>
        <v>2</v>
      </c>
      <c r="F300" s="3"/>
      <c r="G300" s="3">
        <f t="shared" si="8"/>
        <v>2</v>
      </c>
      <c r="H300" s="3">
        <f>VLOOKUP(A300,'[2]CUMP Articles'!$A:$H,8,0)</f>
        <v>728899.41839999997</v>
      </c>
      <c r="I300" s="3">
        <f t="shared" si="9"/>
        <v>1457798.8367999999</v>
      </c>
      <c r="J300" s="3" t="str">
        <f>VLOOKUP(A300,'[3]Stock actif'!$A:$K,10,0)</f>
        <v>Oui</v>
      </c>
      <c r="K300" s="3" t="str">
        <f>VLOOKUP(A300,'[3]Stock actif'!$A:$K,11,0)</f>
        <v>Alcatel-Lucent</v>
      </c>
    </row>
    <row r="301" spans="1:11" x14ac:dyDescent="0.35">
      <c r="A301" s="3">
        <v>4175</v>
      </c>
      <c r="B301" s="3" t="s">
        <v>306</v>
      </c>
      <c r="C301" s="3" t="s">
        <v>4</v>
      </c>
      <c r="D301" s="3" t="s">
        <v>5</v>
      </c>
      <c r="E301" s="3"/>
      <c r="F301" s="3">
        <f>VLOOKUP(A301,[4]fnd_gfm_43298103!$B:$F,5,0)</f>
        <v>7</v>
      </c>
      <c r="G301" s="3">
        <f t="shared" si="8"/>
        <v>7</v>
      </c>
      <c r="H301" s="3">
        <f>VLOOKUP(A301,'[2]CUMP Articles'!$A:$H,8,0)</f>
        <v>19412</v>
      </c>
      <c r="I301" s="3">
        <f t="shared" si="9"/>
        <v>135884</v>
      </c>
      <c r="J301" s="3" t="str">
        <f>VLOOKUP(A301,'[3]Stock actif'!$A:$K,10,0)</f>
        <v>Oui</v>
      </c>
      <c r="K301" s="3" t="str">
        <f>VLOOKUP(A301,'[3]Stock actif'!$A:$K,11,0)</f>
        <v>Cisco</v>
      </c>
    </row>
    <row r="302" spans="1:11" x14ac:dyDescent="0.35">
      <c r="A302" s="3">
        <v>4180</v>
      </c>
      <c r="B302" s="3" t="s">
        <v>307</v>
      </c>
      <c r="C302" s="3" t="s">
        <v>4</v>
      </c>
      <c r="D302" s="3" t="s">
        <v>5</v>
      </c>
      <c r="E302" s="3">
        <f>VLOOKUP(A302,[1]fnd_gfm_43298102!$B:$F,5,0)</f>
        <v>33</v>
      </c>
      <c r="F302" s="3"/>
      <c r="G302" s="3">
        <f t="shared" si="8"/>
        <v>33</v>
      </c>
      <c r="H302" s="3">
        <f>VLOOKUP(A302,'[2]CUMP Articles'!$A:$H,8,0)</f>
        <v>3600</v>
      </c>
      <c r="I302" s="3">
        <f t="shared" si="9"/>
        <v>118800</v>
      </c>
      <c r="J302" s="3" t="str">
        <f>VLOOKUP(A302,'[3]Stock actif'!$A:$K,10,0)</f>
        <v>Non</v>
      </c>
      <c r="K302" s="3" t="str">
        <f>VLOOKUP(A302,'[3]Stock actif'!$A:$K,11,0)</f>
        <v>Générique</v>
      </c>
    </row>
    <row r="303" spans="1:11" x14ac:dyDescent="0.35">
      <c r="A303" s="3">
        <v>4196</v>
      </c>
      <c r="B303" s="3" t="s">
        <v>308</v>
      </c>
      <c r="C303" s="3" t="s">
        <v>4</v>
      </c>
      <c r="D303" s="3" t="s">
        <v>5</v>
      </c>
      <c r="E303" s="3">
        <f>VLOOKUP(A303,[1]fnd_gfm_43298102!$B:$F,5,0)</f>
        <v>6</v>
      </c>
      <c r="F303" s="3">
        <f>VLOOKUP(A303,[4]fnd_gfm_43298103!$B:$F,5,0)</f>
        <v>25</v>
      </c>
      <c r="G303" s="3">
        <f t="shared" si="8"/>
        <v>31</v>
      </c>
      <c r="H303" s="3">
        <f>VLOOKUP(A303,'[2]CUMP Articles'!$A:$H,8,0)</f>
        <v>82978.560500000007</v>
      </c>
      <c r="I303" s="3">
        <f t="shared" si="9"/>
        <v>2572335.3755000001</v>
      </c>
      <c r="J303" s="3" t="str">
        <f>VLOOKUP(A303,'[3]Stock actif'!$A:$K,10,0)</f>
        <v>Oui</v>
      </c>
      <c r="K303" s="3" t="str">
        <f>VLOOKUP(A303,'[3]Stock actif'!$A:$K,11,0)</f>
        <v>Alcatel-Lucent</v>
      </c>
    </row>
    <row r="304" spans="1:11" x14ac:dyDescent="0.35">
      <c r="A304" s="3">
        <v>4202</v>
      </c>
      <c r="B304" s="3" t="s">
        <v>309</v>
      </c>
      <c r="C304" s="3" t="s">
        <v>4</v>
      </c>
      <c r="D304" s="3" t="s">
        <v>5</v>
      </c>
      <c r="E304" s="3">
        <f>VLOOKUP(A304,[1]fnd_gfm_43298102!$B:$F,5,0)</f>
        <v>4</v>
      </c>
      <c r="F304" s="3">
        <f>VLOOKUP(A304,[4]fnd_gfm_43298103!$B:$F,5,0)</f>
        <v>99</v>
      </c>
      <c r="G304" s="3">
        <f t="shared" si="8"/>
        <v>103</v>
      </c>
      <c r="H304" s="3">
        <f>VLOOKUP(A304,'[2]CUMP Articles'!$A:$H,8,0)</f>
        <v>159985.91133998201</v>
      </c>
      <c r="I304" s="3">
        <f t="shared" si="9"/>
        <v>16478548.868018147</v>
      </c>
      <c r="J304" s="3" t="str">
        <f>VLOOKUP(A304,'[3]Stock actif'!$A:$K,10,0)</f>
        <v>Oui</v>
      </c>
      <c r="K304" s="3" t="str">
        <f>VLOOKUP(A304,'[3]Stock actif'!$A:$K,11,0)</f>
        <v>Alcatel-Lucent</v>
      </c>
    </row>
    <row r="305" spans="1:11" x14ac:dyDescent="0.35">
      <c r="A305" s="3">
        <v>4212</v>
      </c>
      <c r="B305" s="3" t="s">
        <v>310</v>
      </c>
      <c r="C305" s="3" t="s">
        <v>4</v>
      </c>
      <c r="D305" s="3" t="s">
        <v>5</v>
      </c>
      <c r="E305" s="3"/>
      <c r="F305" s="3">
        <f>VLOOKUP(A305,[4]fnd_gfm_43298103!$B:$F,5,0)</f>
        <v>10</v>
      </c>
      <c r="G305" s="3">
        <f t="shared" si="8"/>
        <v>10</v>
      </c>
      <c r="H305" s="3">
        <f>VLOOKUP(A305,'[2]CUMP Articles'!$A:$H,8,0)</f>
        <v>424</v>
      </c>
      <c r="I305" s="3">
        <f t="shared" si="9"/>
        <v>4240</v>
      </c>
      <c r="J305" s="3" t="str">
        <f>VLOOKUP(A305,'[3]Stock actif'!$A:$K,10,0)</f>
        <v>Non</v>
      </c>
      <c r="K305" s="3" t="str">
        <f>VLOOKUP(A305,'[3]Stock actif'!$A:$K,11,0)</f>
        <v>Générique</v>
      </c>
    </row>
    <row r="306" spans="1:11" x14ac:dyDescent="0.35">
      <c r="A306" s="3">
        <v>4247</v>
      </c>
      <c r="B306" s="3" t="s">
        <v>311</v>
      </c>
      <c r="C306" s="3" t="s">
        <v>4</v>
      </c>
      <c r="D306" s="3" t="s">
        <v>5</v>
      </c>
      <c r="E306" s="3">
        <f>VLOOKUP(A306,[1]fnd_gfm_43298102!$B:$F,5,0)</f>
        <v>1</v>
      </c>
      <c r="F306" s="3">
        <f>VLOOKUP(A306,[4]fnd_gfm_43298103!$B:$F,5,0)</f>
        <v>2</v>
      </c>
      <c r="G306" s="3">
        <f t="shared" si="8"/>
        <v>3</v>
      </c>
      <c r="H306" s="3">
        <f>VLOOKUP(A306,'[2]CUMP Articles'!$A:$H,8,0)</f>
        <v>12248.25</v>
      </c>
      <c r="I306" s="3">
        <f t="shared" si="9"/>
        <v>36744.75</v>
      </c>
      <c r="J306" s="3" t="str">
        <f>VLOOKUP(A306,'[3]Stock actif'!$A:$K,10,0)</f>
        <v>Oui</v>
      </c>
      <c r="K306" s="3" t="str">
        <f>VLOOKUP(A306,'[3]Stock actif'!$A:$K,11,0)</f>
        <v>Générique</v>
      </c>
    </row>
    <row r="307" spans="1:11" x14ac:dyDescent="0.35">
      <c r="A307" s="3">
        <v>4250</v>
      </c>
      <c r="B307" s="3" t="s">
        <v>312</v>
      </c>
      <c r="C307" s="3" t="s">
        <v>4</v>
      </c>
      <c r="D307" s="3" t="s">
        <v>5</v>
      </c>
      <c r="E307" s="3"/>
      <c r="F307" s="3">
        <f>VLOOKUP(A307,[4]fnd_gfm_43298103!$B:$F,5,0)</f>
        <v>6</v>
      </c>
      <c r="G307" s="3">
        <f t="shared" si="8"/>
        <v>6</v>
      </c>
      <c r="H307" s="3">
        <f>VLOOKUP(A307,'[2]CUMP Articles'!$A:$H,8,0)</f>
        <v>164751</v>
      </c>
      <c r="I307" s="3">
        <f t="shared" si="9"/>
        <v>988506</v>
      </c>
      <c r="J307" s="3" t="str">
        <f>VLOOKUP(A307,'[3]Stock actif'!$A:$K,10,0)</f>
        <v>Oui</v>
      </c>
      <c r="K307" s="3" t="str">
        <f>VLOOKUP(A307,'[3]Stock actif'!$A:$K,11,0)</f>
        <v>Générique</v>
      </c>
    </row>
    <row r="308" spans="1:11" x14ac:dyDescent="0.35">
      <c r="A308" s="3">
        <v>4274</v>
      </c>
      <c r="B308" s="3" t="s">
        <v>313</v>
      </c>
      <c r="C308" s="3" t="s">
        <v>4</v>
      </c>
      <c r="D308" s="3" t="s">
        <v>5</v>
      </c>
      <c r="E308" s="3"/>
      <c r="F308" s="3">
        <f>VLOOKUP(A308,[4]fnd_gfm_43298103!$B:$F,5,0)</f>
        <v>247</v>
      </c>
      <c r="G308" s="3">
        <f t="shared" si="8"/>
        <v>247</v>
      </c>
      <c r="H308" s="3">
        <f>VLOOKUP(A308,'[2]CUMP Articles'!$A:$H,8,0)</f>
        <v>2317.21749267</v>
      </c>
      <c r="I308" s="3">
        <f t="shared" si="9"/>
        <v>572352.72068948997</v>
      </c>
      <c r="J308" s="3" t="str">
        <f>VLOOKUP(A308,'[3]Stock actif'!$A:$K,10,0)</f>
        <v>Oui</v>
      </c>
      <c r="K308" s="3" t="str">
        <f>VLOOKUP(A308,'[3]Stock actif'!$A:$K,11,0)</f>
        <v>Nexans</v>
      </c>
    </row>
    <row r="309" spans="1:11" x14ac:dyDescent="0.35">
      <c r="A309" s="3">
        <v>4280</v>
      </c>
      <c r="B309" s="3" t="s">
        <v>314</v>
      </c>
      <c r="C309" s="3" t="s">
        <v>4</v>
      </c>
      <c r="D309" s="3" t="s">
        <v>5</v>
      </c>
      <c r="E309" s="3">
        <f>VLOOKUP(A309,[1]fnd_gfm_43298102!$B:$F,5,0)</f>
        <v>1</v>
      </c>
      <c r="F309" s="3">
        <f>VLOOKUP(A309,[4]fnd_gfm_43298103!$B:$F,5,0)</f>
        <v>48</v>
      </c>
      <c r="G309" s="3">
        <f t="shared" si="8"/>
        <v>49</v>
      </c>
      <c r="H309" s="3">
        <f>VLOOKUP(A309,'[2]CUMP Articles'!$A:$H,8,0)</f>
        <v>2314.2162960000001</v>
      </c>
      <c r="I309" s="3">
        <f t="shared" si="9"/>
        <v>113396.59850400001</v>
      </c>
      <c r="J309" s="3" t="str">
        <f>VLOOKUP(A309,'[3]Stock actif'!$A:$K,10,0)</f>
        <v>Oui</v>
      </c>
      <c r="K309" s="3" t="str">
        <f>VLOOKUP(A309,'[3]Stock actif'!$A:$K,11,0)</f>
        <v>Nexans</v>
      </c>
    </row>
    <row r="310" spans="1:11" x14ac:dyDescent="0.35">
      <c r="A310" s="3">
        <v>4281</v>
      </c>
      <c r="B310" s="3" t="s">
        <v>315</v>
      </c>
      <c r="C310" s="3" t="s">
        <v>4</v>
      </c>
      <c r="D310" s="3" t="s">
        <v>5</v>
      </c>
      <c r="E310" s="3">
        <f>VLOOKUP(A310,[1]fnd_gfm_43298102!$B:$F,5,0)</f>
        <v>53</v>
      </c>
      <c r="F310" s="3">
        <f>VLOOKUP(A310,[4]fnd_gfm_43298103!$B:$F,5,0)</f>
        <v>3874</v>
      </c>
      <c r="G310" s="3">
        <f t="shared" si="8"/>
        <v>3927</v>
      </c>
      <c r="H310" s="3">
        <f>VLOOKUP(A310,'[2]CUMP Articles'!$A:$H,8,0)</f>
        <v>9324.5129258725192</v>
      </c>
      <c r="I310" s="3">
        <f t="shared" si="9"/>
        <v>36617362.259901382</v>
      </c>
      <c r="J310" s="3" t="str">
        <f>VLOOKUP(A310,'[3]Stock actif'!$A:$K,10,0)</f>
        <v>Oui</v>
      </c>
      <c r="K310" s="3" t="str">
        <f>VLOOKUP(A310,'[3]Stock actif'!$A:$K,11,0)</f>
        <v>Nexans</v>
      </c>
    </row>
    <row r="311" spans="1:11" x14ac:dyDescent="0.35">
      <c r="A311" s="3">
        <v>4287</v>
      </c>
      <c r="B311" s="3" t="s">
        <v>523</v>
      </c>
      <c r="C311" s="3" t="s">
        <v>4</v>
      </c>
      <c r="D311" s="3" t="s">
        <v>5</v>
      </c>
      <c r="E311" s="3">
        <f>VLOOKUP(A311,[1]fnd_gfm_43298102!$B:$F,5,0)</f>
        <v>3</v>
      </c>
      <c r="F311" s="3"/>
      <c r="G311" s="3">
        <f t="shared" si="8"/>
        <v>3</v>
      </c>
      <c r="H311" s="3">
        <f>VLOOKUP(A311,'[2]CUMP Articles'!$A:$H,8,0)</f>
        <v>550204.688596291</v>
      </c>
      <c r="I311" s="3">
        <f t="shared" si="9"/>
        <v>1650614.065788873</v>
      </c>
      <c r="J311" s="3" t="str">
        <f>VLOOKUP(A311,'[3]Stock actif'!$A:$K,10,0)</f>
        <v>OUI</v>
      </c>
      <c r="K311" s="3" t="str">
        <f>VLOOKUP(A311,'[3]Stock actif'!$A:$K,11,0)</f>
        <v>Fortinet</v>
      </c>
    </row>
    <row r="312" spans="1:11" x14ac:dyDescent="0.35">
      <c r="A312" s="3">
        <v>4288</v>
      </c>
      <c r="B312" s="3" t="s">
        <v>316</v>
      </c>
      <c r="C312" s="3" t="s">
        <v>4</v>
      </c>
      <c r="D312" s="3" t="s">
        <v>5</v>
      </c>
      <c r="E312" s="3">
        <f>VLOOKUP(A312,[1]fnd_gfm_43298102!$B:$F,5,0)</f>
        <v>8</v>
      </c>
      <c r="F312" s="3"/>
      <c r="G312" s="3">
        <f t="shared" si="8"/>
        <v>8</v>
      </c>
      <c r="H312" s="3">
        <f>VLOOKUP(A312,'[2]CUMP Articles'!$A:$H,8,0)</f>
        <v>16761.904761904701</v>
      </c>
      <c r="I312" s="3">
        <f t="shared" si="9"/>
        <v>134095.23809523761</v>
      </c>
      <c r="J312" s="3" t="str">
        <f>VLOOKUP(A312,'[3]Stock actif'!$A:$K,10,0)</f>
        <v>Non</v>
      </c>
      <c r="K312" s="3" t="str">
        <f>VLOOKUP(A312,'[3]Stock actif'!$A:$K,11,0)</f>
        <v>Générique</v>
      </c>
    </row>
    <row r="313" spans="1:11" x14ac:dyDescent="0.35">
      <c r="A313" s="3">
        <v>4295</v>
      </c>
      <c r="B313" s="3" t="s">
        <v>317</v>
      </c>
      <c r="C313" s="3" t="s">
        <v>4</v>
      </c>
      <c r="D313" s="3" t="s">
        <v>5</v>
      </c>
      <c r="E313" s="3">
        <f>VLOOKUP(A313,[1]fnd_gfm_43298102!$B:$F,5,0)</f>
        <v>7</v>
      </c>
      <c r="F313" s="3">
        <f>VLOOKUP(A313,[4]fnd_gfm_43298103!$B:$F,5,0)</f>
        <v>7</v>
      </c>
      <c r="G313" s="3">
        <f t="shared" si="8"/>
        <v>14</v>
      </c>
      <c r="H313" s="3">
        <f>VLOOKUP(A313,'[2]CUMP Articles'!$A:$H,8,0)</f>
        <v>479559.63567506499</v>
      </c>
      <c r="I313" s="3">
        <f t="shared" si="9"/>
        <v>6713834.8994509093</v>
      </c>
      <c r="J313" s="3" t="str">
        <f>VLOOKUP(A313,'[3]Stock actif'!$A:$K,10,0)</f>
        <v>OUI</v>
      </c>
      <c r="K313" s="3" t="str">
        <f>VLOOKUP(A313,'[3]Stock actif'!$A:$K,11,0)</f>
        <v>Fortinet</v>
      </c>
    </row>
    <row r="314" spans="1:11" x14ac:dyDescent="0.35">
      <c r="A314" s="3">
        <v>4296</v>
      </c>
      <c r="B314" s="3" t="s">
        <v>318</v>
      </c>
      <c r="C314" s="3" t="s">
        <v>4</v>
      </c>
      <c r="D314" s="3" t="s">
        <v>120</v>
      </c>
      <c r="E314" s="3">
        <f>VLOOKUP(A314,[1]fnd_gfm_43298102!$B:$F,5,0)</f>
        <v>19</v>
      </c>
      <c r="F314" s="3"/>
      <c r="G314" s="3">
        <f t="shared" si="8"/>
        <v>19</v>
      </c>
      <c r="H314" s="3">
        <f>VLOOKUP(A314,'[2]CUMP Articles'!$A:$H,8,0)</f>
        <v>70441</v>
      </c>
      <c r="I314" s="3">
        <f t="shared" si="9"/>
        <v>1338379</v>
      </c>
      <c r="J314" s="3" t="str">
        <f>VLOOKUP(A314,'[3]Stock actif'!$A:$K,10,0)</f>
        <v>Oui</v>
      </c>
      <c r="K314" s="3" t="str">
        <f>VLOOKUP(A314,'[3]Stock actif'!$A:$K,11,0)</f>
        <v>Générique</v>
      </c>
    </row>
    <row r="315" spans="1:11" x14ac:dyDescent="0.35">
      <c r="A315" s="3">
        <v>4301</v>
      </c>
      <c r="B315" s="3" t="s">
        <v>319</v>
      </c>
      <c r="C315" s="3" t="s">
        <v>4</v>
      </c>
      <c r="D315" s="3" t="s">
        <v>5</v>
      </c>
      <c r="E315" s="3"/>
      <c r="F315" s="3">
        <f>VLOOKUP(A315,[4]fnd_gfm_43298103!$B:$F,5,0)</f>
        <v>5</v>
      </c>
      <c r="G315" s="3">
        <f t="shared" si="8"/>
        <v>5</v>
      </c>
      <c r="H315" s="3">
        <f>VLOOKUP(A315,'[2]CUMP Articles'!$A:$H,8,0)</f>
        <v>60000</v>
      </c>
      <c r="I315" s="3">
        <f t="shared" si="9"/>
        <v>300000</v>
      </c>
      <c r="J315" s="3" t="str">
        <f>VLOOKUP(A315,'[3]Stock actif'!$A:$K,10,0)</f>
        <v>Non</v>
      </c>
      <c r="K315" s="3" t="str">
        <f>VLOOKUP(A315,'[3]Stock actif'!$A:$K,11,0)</f>
        <v>Générique</v>
      </c>
    </row>
    <row r="316" spans="1:11" x14ac:dyDescent="0.35">
      <c r="A316" s="3">
        <v>4302</v>
      </c>
      <c r="B316" s="3" t="s">
        <v>320</v>
      </c>
      <c r="C316" s="3" t="s">
        <v>4</v>
      </c>
      <c r="D316" s="3" t="s">
        <v>5</v>
      </c>
      <c r="E316" s="3">
        <f>VLOOKUP(A316,[1]fnd_gfm_43298102!$B:$F,5,0)</f>
        <v>19</v>
      </c>
      <c r="F316" s="3"/>
      <c r="G316" s="3">
        <f t="shared" si="8"/>
        <v>19</v>
      </c>
      <c r="H316" s="3">
        <f>VLOOKUP(A316,'[2]CUMP Articles'!$A:$H,8,0)</f>
        <v>19344.122589610299</v>
      </c>
      <c r="I316" s="3">
        <f t="shared" si="9"/>
        <v>367538.32920259569</v>
      </c>
      <c r="J316" s="3" t="str">
        <f>VLOOKUP(A316,'[3]Stock actif'!$A:$K,10,0)</f>
        <v>Oui</v>
      </c>
      <c r="K316" s="3" t="str">
        <f>VLOOKUP(A316,'[3]Stock actif'!$A:$K,11,0)</f>
        <v>Générique</v>
      </c>
    </row>
    <row r="317" spans="1:11" x14ac:dyDescent="0.35">
      <c r="A317" s="3">
        <v>4303</v>
      </c>
      <c r="B317" s="3" t="s">
        <v>321</v>
      </c>
      <c r="C317" s="3" t="s">
        <v>4</v>
      </c>
      <c r="D317" s="3" t="s">
        <v>5</v>
      </c>
      <c r="E317" s="3"/>
      <c r="F317" s="3">
        <f>VLOOKUP(A317,[4]fnd_gfm_43298103!$B:$F,5,0)</f>
        <v>2</v>
      </c>
      <c r="G317" s="3">
        <f t="shared" si="8"/>
        <v>2</v>
      </c>
      <c r="H317" s="3">
        <f>VLOOKUP(A317,'[2]CUMP Articles'!$A:$H,8,0)</f>
        <v>32500</v>
      </c>
      <c r="I317" s="3">
        <f t="shared" si="9"/>
        <v>65000</v>
      </c>
      <c r="J317" s="3" t="str">
        <f>VLOOKUP(A317,'[3]Stock actif'!$A:$K,10,0)</f>
        <v>Non</v>
      </c>
      <c r="K317" s="3" t="str">
        <f>VLOOKUP(A317,'[3]Stock actif'!$A:$K,11,0)</f>
        <v>Générique</v>
      </c>
    </row>
    <row r="318" spans="1:11" x14ac:dyDescent="0.35">
      <c r="A318" s="3">
        <v>4305</v>
      </c>
      <c r="B318" s="3" t="s">
        <v>322</v>
      </c>
      <c r="C318" s="3" t="s">
        <v>4</v>
      </c>
      <c r="D318" s="3" t="s">
        <v>5</v>
      </c>
      <c r="E318" s="3">
        <f>VLOOKUP(A318,[1]fnd_gfm_43298102!$B:$F,5,0)</f>
        <v>4</v>
      </c>
      <c r="F318" s="3">
        <f>VLOOKUP(A318,[4]fnd_gfm_43298103!$B:$F,5,0)</f>
        <v>1</v>
      </c>
      <c r="G318" s="3">
        <f t="shared" si="8"/>
        <v>5</v>
      </c>
      <c r="H318" s="3">
        <f>VLOOKUP(A318,'[2]CUMP Articles'!$A:$H,8,0)</f>
        <v>47556.8825</v>
      </c>
      <c r="I318" s="3">
        <f t="shared" si="9"/>
        <v>237784.41250000001</v>
      </c>
      <c r="J318" s="3" t="str">
        <f>VLOOKUP(A318,'[3]Stock actif'!$A:$K,10,0)</f>
        <v>Oui</v>
      </c>
      <c r="K318" s="3" t="str">
        <f>VLOOKUP(A318,'[3]Stock actif'!$A:$K,11,0)</f>
        <v>Alcatel-Lucent</v>
      </c>
    </row>
    <row r="319" spans="1:11" x14ac:dyDescent="0.35">
      <c r="A319" s="3">
        <v>4306</v>
      </c>
      <c r="B319" s="3" t="s">
        <v>323</v>
      </c>
      <c r="C319" s="3" t="s">
        <v>4</v>
      </c>
      <c r="D319" s="3" t="s">
        <v>5</v>
      </c>
      <c r="E319" s="3">
        <f>VLOOKUP(A319,[1]fnd_gfm_43298102!$B:$F,5,0)</f>
        <v>3</v>
      </c>
      <c r="F319" s="3">
        <f>VLOOKUP(A319,[4]fnd_gfm_43298103!$B:$F,5,0)</f>
        <v>8</v>
      </c>
      <c r="G319" s="3">
        <f t="shared" si="8"/>
        <v>11</v>
      </c>
      <c r="H319" s="3">
        <f>VLOOKUP(A319,'[2]CUMP Articles'!$A:$H,8,0)</f>
        <v>177436.36850000001</v>
      </c>
      <c r="I319" s="3">
        <f t="shared" si="9"/>
        <v>1951800.0535000002</v>
      </c>
      <c r="J319" s="3" t="str">
        <f>VLOOKUP(A319,'[3]Stock actif'!$A:$K,10,0)</f>
        <v>Oui</v>
      </c>
      <c r="K319" s="3" t="str">
        <f>VLOOKUP(A319,'[3]Stock actif'!$A:$K,11,0)</f>
        <v>Alcatel-Lucent</v>
      </c>
    </row>
    <row r="320" spans="1:11" x14ac:dyDescent="0.35">
      <c r="A320" s="3">
        <v>4307</v>
      </c>
      <c r="B320" s="3" t="s">
        <v>324</v>
      </c>
      <c r="C320" s="3" t="s">
        <v>4</v>
      </c>
      <c r="D320" s="3" t="s">
        <v>5</v>
      </c>
      <c r="E320" s="3"/>
      <c r="F320" s="3">
        <f>VLOOKUP(A320,[4]fnd_gfm_43298103!$B:$F,5,0)</f>
        <v>20</v>
      </c>
      <c r="G320" s="3">
        <f t="shared" si="8"/>
        <v>20</v>
      </c>
      <c r="H320" s="3">
        <f>VLOOKUP(A320,'[2]CUMP Articles'!$A:$H,8,0)</f>
        <v>109413.62760000001</v>
      </c>
      <c r="I320" s="3">
        <f t="shared" si="9"/>
        <v>2188272.5520000001</v>
      </c>
      <c r="J320" s="3" t="str">
        <f>VLOOKUP(A320,'[3]Stock actif'!$A:$K,10,0)</f>
        <v>Oui</v>
      </c>
      <c r="K320" s="3" t="str">
        <f>VLOOKUP(A320,'[3]Stock actif'!$A:$K,11,0)</f>
        <v>Alcatel-Lucent</v>
      </c>
    </row>
    <row r="321" spans="1:11" x14ac:dyDescent="0.35">
      <c r="A321" s="3">
        <v>4308</v>
      </c>
      <c r="B321" s="3" t="s">
        <v>325</v>
      </c>
      <c r="C321" s="3" t="s">
        <v>4</v>
      </c>
      <c r="D321" s="3" t="s">
        <v>5</v>
      </c>
      <c r="E321" s="3"/>
      <c r="F321" s="3">
        <f>VLOOKUP(A321,[4]fnd_gfm_43298103!$B:$F,5,0)</f>
        <v>10</v>
      </c>
      <c r="G321" s="3">
        <f t="shared" si="8"/>
        <v>10</v>
      </c>
      <c r="H321" s="3">
        <f>VLOOKUP(A321,'[2]CUMP Articles'!$A:$H,8,0)</f>
        <v>186081.88175999999</v>
      </c>
      <c r="I321" s="3">
        <f t="shared" si="9"/>
        <v>1860818.8176</v>
      </c>
      <c r="J321" s="3" t="str">
        <f>VLOOKUP(A321,'[3]Stock actif'!$A:$K,10,0)</f>
        <v>Oui</v>
      </c>
      <c r="K321" s="3" t="str">
        <f>VLOOKUP(A321,'[3]Stock actif'!$A:$K,11,0)</f>
        <v>Alcatel-Lucent</v>
      </c>
    </row>
    <row r="322" spans="1:11" x14ac:dyDescent="0.35">
      <c r="A322" s="3">
        <v>4321</v>
      </c>
      <c r="B322" s="3" t="s">
        <v>326</v>
      </c>
      <c r="C322" s="3" t="s">
        <v>4</v>
      </c>
      <c r="D322" s="3" t="s">
        <v>5</v>
      </c>
      <c r="E322" s="3"/>
      <c r="F322" s="3">
        <f>VLOOKUP(A322,[4]fnd_gfm_43298103!$B:$F,5,0)</f>
        <v>10</v>
      </c>
      <c r="G322" s="3">
        <f t="shared" si="8"/>
        <v>10</v>
      </c>
      <c r="H322" s="3">
        <f>VLOOKUP(A322,'[2]CUMP Articles'!$A:$H,8,0)</f>
        <v>43306</v>
      </c>
      <c r="I322" s="3">
        <f t="shared" si="9"/>
        <v>433060</v>
      </c>
      <c r="J322" s="3" t="str">
        <f>VLOOKUP(A322,'[3]Stock actif'!$A:$K,10,0)</f>
        <v>Oui</v>
      </c>
      <c r="K322" s="3" t="str">
        <f>VLOOKUP(A322,'[3]Stock actif'!$A:$K,11,0)</f>
        <v>Générique</v>
      </c>
    </row>
    <row r="323" spans="1:11" x14ac:dyDescent="0.35">
      <c r="A323" s="3">
        <v>4333</v>
      </c>
      <c r="B323" s="3" t="s">
        <v>327</v>
      </c>
      <c r="C323" s="3" t="s">
        <v>4</v>
      </c>
      <c r="D323" s="3" t="s">
        <v>5</v>
      </c>
      <c r="E323" s="3">
        <f>VLOOKUP(A323,[1]fnd_gfm_43298102!$B:$F,5,0)</f>
        <v>35</v>
      </c>
      <c r="F323" s="3">
        <f>VLOOKUP(A323,[4]fnd_gfm_43298103!$B:$F,5,0)</f>
        <v>4</v>
      </c>
      <c r="G323" s="3">
        <f t="shared" ref="G323:G386" si="10">SUM(E323:F323)</f>
        <v>39</v>
      </c>
      <c r="H323" s="3">
        <f>VLOOKUP(A323,'[2]CUMP Articles'!$A:$H,8,0)</f>
        <v>16972.6956875</v>
      </c>
      <c r="I323" s="3">
        <f t="shared" ref="I323:I386" si="11">H323*G323</f>
        <v>661935.13181249995</v>
      </c>
      <c r="J323" s="3" t="str">
        <f>VLOOKUP(A323,'[3]Stock actif'!$A:$K,10,0)</f>
        <v>Non</v>
      </c>
      <c r="K323" s="3" t="str">
        <f>VLOOKUP(A323,'[3]Stock actif'!$A:$K,11,0)</f>
        <v>Générique</v>
      </c>
    </row>
    <row r="324" spans="1:11" x14ac:dyDescent="0.35">
      <c r="A324" s="3">
        <v>4350</v>
      </c>
      <c r="B324" s="3" t="s">
        <v>328</v>
      </c>
      <c r="C324" s="3" t="s">
        <v>4</v>
      </c>
      <c r="D324" s="3" t="s">
        <v>5</v>
      </c>
      <c r="E324" s="3"/>
      <c r="F324" s="3">
        <f>VLOOKUP(A324,[4]fnd_gfm_43298103!$B:$F,5,0)</f>
        <v>4</v>
      </c>
      <c r="G324" s="3">
        <f t="shared" si="10"/>
        <v>4</v>
      </c>
      <c r="H324" s="3">
        <f>VLOOKUP(A324,'[2]CUMP Articles'!$A:$H,8,0)</f>
        <v>446871</v>
      </c>
      <c r="I324" s="3">
        <f t="shared" si="11"/>
        <v>1787484</v>
      </c>
      <c r="J324" s="3" t="str">
        <f>VLOOKUP(A324,'[3]Stock actif'!$A:$K,10,0)</f>
        <v>Oui</v>
      </c>
      <c r="K324" s="3" t="str">
        <f>VLOOKUP(A324,'[3]Stock actif'!$A:$K,11,0)</f>
        <v>Alcatel-Lucent</v>
      </c>
    </row>
    <row r="325" spans="1:11" x14ac:dyDescent="0.35">
      <c r="A325" s="3">
        <v>4353</v>
      </c>
      <c r="B325" s="3" t="s">
        <v>329</v>
      </c>
      <c r="C325" s="3" t="s">
        <v>4</v>
      </c>
      <c r="D325" s="3" t="s">
        <v>5</v>
      </c>
      <c r="E325" s="3">
        <f>VLOOKUP(A325,[1]fnd_gfm_43298102!$B:$F,5,0)</f>
        <v>31</v>
      </c>
      <c r="F325" s="3">
        <f>VLOOKUP(A325,[4]fnd_gfm_43298103!$B:$F,5,0)</f>
        <v>21</v>
      </c>
      <c r="G325" s="3">
        <f t="shared" si="10"/>
        <v>52</v>
      </c>
      <c r="H325" s="3">
        <f>VLOOKUP(A325,'[2]CUMP Articles'!$A:$H,8,0)</f>
        <v>29500</v>
      </c>
      <c r="I325" s="3">
        <f t="shared" si="11"/>
        <v>1534000</v>
      </c>
      <c r="J325" s="3" t="str">
        <f>VLOOKUP(A325,'[3]Stock actif'!$A:$K,10,0)</f>
        <v>Non</v>
      </c>
      <c r="K325" s="3" t="str">
        <f>VLOOKUP(A325,'[3]Stock actif'!$A:$K,11,0)</f>
        <v>Générique</v>
      </c>
    </row>
    <row r="326" spans="1:11" x14ac:dyDescent="0.35">
      <c r="A326" s="3">
        <v>4354</v>
      </c>
      <c r="B326" s="3" t="s">
        <v>330</v>
      </c>
      <c r="C326" s="3" t="s">
        <v>4</v>
      </c>
      <c r="D326" s="3" t="s">
        <v>5</v>
      </c>
      <c r="E326" s="3">
        <f>VLOOKUP(A326,[1]fnd_gfm_43298102!$B:$F,5,0)</f>
        <v>77</v>
      </c>
      <c r="F326" s="3">
        <f>VLOOKUP(A326,[4]fnd_gfm_43298103!$B:$F,5,0)</f>
        <v>1143</v>
      </c>
      <c r="G326" s="3">
        <f t="shared" si="10"/>
        <v>1220</v>
      </c>
      <c r="H326" s="3">
        <f>VLOOKUP(A326,'[2]CUMP Articles'!$A:$H,8,0)</f>
        <v>1500</v>
      </c>
      <c r="I326" s="3">
        <f t="shared" si="11"/>
        <v>1830000</v>
      </c>
      <c r="J326" s="3" t="str">
        <f>VLOOKUP(A326,'[3]Stock actif'!$A:$K,10,0)</f>
        <v>Non</v>
      </c>
      <c r="K326" s="3" t="str">
        <f>VLOOKUP(A326,'[3]Stock actif'!$A:$K,11,0)</f>
        <v>Générique</v>
      </c>
    </row>
    <row r="327" spans="1:11" x14ac:dyDescent="0.35">
      <c r="A327" s="3">
        <v>4355</v>
      </c>
      <c r="B327" s="3" t="s">
        <v>331</v>
      </c>
      <c r="C327" s="3" t="s">
        <v>4</v>
      </c>
      <c r="D327" s="3" t="s">
        <v>5</v>
      </c>
      <c r="E327" s="3">
        <f>VLOOKUP(A327,[1]fnd_gfm_43298102!$B:$F,5,0)</f>
        <v>90</v>
      </c>
      <c r="F327" s="3">
        <f>VLOOKUP(A327,[4]fnd_gfm_43298103!$B:$F,5,0)</f>
        <v>450</v>
      </c>
      <c r="G327" s="3">
        <f t="shared" si="10"/>
        <v>540</v>
      </c>
      <c r="H327" s="3">
        <f>VLOOKUP(A327,'[2]CUMP Articles'!$A:$H,8,0)</f>
        <v>1000</v>
      </c>
      <c r="I327" s="3">
        <f t="shared" si="11"/>
        <v>540000</v>
      </c>
      <c r="J327" s="3" t="str">
        <f>VLOOKUP(A327,'[3]Stock actif'!$A:$K,10,0)</f>
        <v>Non</v>
      </c>
      <c r="K327" s="3" t="str">
        <f>VLOOKUP(A327,'[3]Stock actif'!$A:$K,11,0)</f>
        <v>Générique</v>
      </c>
    </row>
    <row r="328" spans="1:11" x14ac:dyDescent="0.35">
      <c r="A328" s="3">
        <v>4370</v>
      </c>
      <c r="B328" s="3" t="s">
        <v>332</v>
      </c>
      <c r="C328" s="3" t="s">
        <v>4</v>
      </c>
      <c r="D328" s="3" t="s">
        <v>5</v>
      </c>
      <c r="E328" s="3">
        <f>VLOOKUP(A328,[1]fnd_gfm_43298102!$B:$F,5,0)</f>
        <v>2</v>
      </c>
      <c r="F328" s="3">
        <f>VLOOKUP(A328,[4]fnd_gfm_43298103!$B:$F,5,0)</f>
        <v>2</v>
      </c>
      <c r="G328" s="3">
        <f t="shared" si="10"/>
        <v>4</v>
      </c>
      <c r="H328" s="3">
        <f>VLOOKUP(A328,'[2]CUMP Articles'!$A:$H,8,0)</f>
        <v>95162.961774999902</v>
      </c>
      <c r="I328" s="3">
        <f t="shared" si="11"/>
        <v>380651.84709999961</v>
      </c>
      <c r="J328" s="3" t="str">
        <f>VLOOKUP(A328,'[3]Stock actif'!$A:$K,10,0)</f>
        <v>Oui</v>
      </c>
      <c r="K328" s="3" t="str">
        <f>VLOOKUP(A328,'[3]Stock actif'!$A:$K,11,0)</f>
        <v>Alcatel-Lucent</v>
      </c>
    </row>
    <row r="329" spans="1:11" x14ac:dyDescent="0.35">
      <c r="A329" s="3">
        <v>4372</v>
      </c>
      <c r="B329" s="3" t="s">
        <v>333</v>
      </c>
      <c r="C329" s="3" t="s">
        <v>4</v>
      </c>
      <c r="D329" s="3" t="s">
        <v>5</v>
      </c>
      <c r="E329" s="3"/>
      <c r="F329" s="3">
        <f>VLOOKUP(A329,[4]fnd_gfm_43298103!$B:$F,5,0)</f>
        <v>1</v>
      </c>
      <c r="G329" s="3">
        <f t="shared" si="10"/>
        <v>1</v>
      </c>
      <c r="H329" s="3">
        <f>VLOOKUP(A329,'[2]CUMP Articles'!$A:$H,8,0)</f>
        <v>240238</v>
      </c>
      <c r="I329" s="3">
        <f t="shared" si="11"/>
        <v>240238</v>
      </c>
      <c r="J329" s="3" t="str">
        <f>VLOOKUP(A329,'[3]Stock actif'!$A:$K,10,0)</f>
        <v>Oui</v>
      </c>
      <c r="K329" s="3" t="str">
        <f>VLOOKUP(A329,'[3]Stock actif'!$A:$K,11,0)</f>
        <v>Alcatel-Lucent</v>
      </c>
    </row>
    <row r="330" spans="1:11" x14ac:dyDescent="0.35">
      <c r="A330" s="3">
        <v>4385</v>
      </c>
      <c r="B330" s="3" t="s">
        <v>334</v>
      </c>
      <c r="C330" s="3" t="s">
        <v>4</v>
      </c>
      <c r="D330" s="3" t="s">
        <v>5</v>
      </c>
      <c r="E330" s="3">
        <f>VLOOKUP(A330,[1]fnd_gfm_43298102!$B:$F,5,0)</f>
        <v>3</v>
      </c>
      <c r="F330" s="3"/>
      <c r="G330" s="3">
        <f t="shared" si="10"/>
        <v>3</v>
      </c>
      <c r="H330" s="3">
        <f>VLOOKUP(A330,'[2]CUMP Articles'!$A:$H,8,0)</f>
        <v>162349</v>
      </c>
      <c r="I330" s="3">
        <f t="shared" si="11"/>
        <v>487047</v>
      </c>
      <c r="J330" s="3" t="str">
        <f>VLOOKUP(A330,'[3]Stock actif'!$A:$K,10,0)</f>
        <v>Oui</v>
      </c>
      <c r="K330" s="3" t="str">
        <f>VLOOKUP(A330,'[3]Stock actif'!$A:$K,11,0)</f>
        <v>Fortinet</v>
      </c>
    </row>
    <row r="331" spans="1:11" x14ac:dyDescent="0.35">
      <c r="A331" s="3">
        <v>4390</v>
      </c>
      <c r="B331" s="3" t="s">
        <v>335</v>
      </c>
      <c r="C331" s="3" t="s">
        <v>4</v>
      </c>
      <c r="D331" s="3" t="s">
        <v>5</v>
      </c>
      <c r="E331" s="3">
        <f>VLOOKUP(A331,[1]fnd_gfm_43298102!$B:$F,5,0)</f>
        <v>1</v>
      </c>
      <c r="F331" s="3"/>
      <c r="G331" s="3">
        <f t="shared" si="10"/>
        <v>1</v>
      </c>
      <c r="H331" s="3">
        <f>VLOOKUP(A331,'[2]CUMP Articles'!$A:$H,8,0)</f>
        <v>38567.286453615801</v>
      </c>
      <c r="I331" s="3">
        <f t="shared" si="11"/>
        <v>38567.286453615801</v>
      </c>
      <c r="J331" s="3" t="str">
        <f>VLOOKUP(A331,'[3]Stock actif'!$A:$K,10,0)</f>
        <v>Oui</v>
      </c>
      <c r="K331" s="3" t="str">
        <f>VLOOKUP(A331,'[3]Stock actif'!$A:$K,11,0)</f>
        <v>Fortinet</v>
      </c>
    </row>
    <row r="332" spans="1:11" x14ac:dyDescent="0.35">
      <c r="A332" s="3">
        <v>4399</v>
      </c>
      <c r="B332" s="3" t="s">
        <v>336</v>
      </c>
      <c r="C332" s="3" t="s">
        <v>4</v>
      </c>
      <c r="D332" s="3" t="s">
        <v>5</v>
      </c>
      <c r="E332" s="3"/>
      <c r="F332" s="3">
        <f>VLOOKUP(A332,[4]fnd_gfm_43298103!$B:$F,5,0)</f>
        <v>2</v>
      </c>
      <c r="G332" s="3">
        <f t="shared" si="10"/>
        <v>2</v>
      </c>
      <c r="H332" s="3">
        <f>VLOOKUP(A332,'[2]CUMP Articles'!$A:$H,8,0)</f>
        <v>18088</v>
      </c>
      <c r="I332" s="3">
        <f t="shared" si="11"/>
        <v>36176</v>
      </c>
      <c r="J332" s="3" t="str">
        <f>VLOOKUP(A332,'[3]Stock actif'!$A:$K,10,0)</f>
        <v>Non</v>
      </c>
      <c r="K332" s="3" t="str">
        <f>VLOOKUP(A332,'[3]Stock actif'!$A:$K,11,0)</f>
        <v>Legrand</v>
      </c>
    </row>
    <row r="333" spans="1:11" x14ac:dyDescent="0.35">
      <c r="A333" s="3">
        <v>4400</v>
      </c>
      <c r="B333" s="3" t="s">
        <v>337</v>
      </c>
      <c r="C333" s="3" t="s">
        <v>4</v>
      </c>
      <c r="D333" s="3" t="s">
        <v>5</v>
      </c>
      <c r="E333" s="3">
        <f>VLOOKUP(A333,[1]fnd_gfm_43298102!$B:$F,5,0)</f>
        <v>101</v>
      </c>
      <c r="F333" s="3"/>
      <c r="G333" s="3">
        <f t="shared" si="10"/>
        <v>101</v>
      </c>
      <c r="H333" s="3">
        <f>VLOOKUP(A333,'[2]CUMP Articles'!$A:$H,8,0)</f>
        <v>3423.7623762376202</v>
      </c>
      <c r="I333" s="3">
        <f t="shared" si="11"/>
        <v>345799.99999999965</v>
      </c>
      <c r="J333" s="3" t="str">
        <f>VLOOKUP(A333,'[3]Stock actif'!$A:$K,10,0)</f>
        <v>Non</v>
      </c>
      <c r="K333" s="3" t="str">
        <f>VLOOKUP(A333,'[3]Stock actif'!$A:$K,11,0)</f>
        <v>Générique</v>
      </c>
    </row>
    <row r="334" spans="1:11" x14ac:dyDescent="0.35">
      <c r="A334" s="3">
        <v>4401</v>
      </c>
      <c r="B334" s="3" t="s">
        <v>338</v>
      </c>
      <c r="C334" s="3" t="s">
        <v>4</v>
      </c>
      <c r="D334" s="3" t="s">
        <v>5</v>
      </c>
      <c r="E334" s="3">
        <f>VLOOKUP(A334,[1]fnd_gfm_43298102!$B:$F,5,0)</f>
        <v>85</v>
      </c>
      <c r="F334" s="3"/>
      <c r="G334" s="3">
        <f t="shared" si="10"/>
        <v>85</v>
      </c>
      <c r="H334" s="3">
        <f>VLOOKUP(A334,'[2]CUMP Articles'!$A:$H,8,0)</f>
        <v>2520.5528846153802</v>
      </c>
      <c r="I334" s="3">
        <f t="shared" si="11"/>
        <v>214246.99519230731</v>
      </c>
      <c r="J334" s="3" t="str">
        <f>VLOOKUP(A334,'[3]Stock actif'!$A:$K,10,0)</f>
        <v>Non</v>
      </c>
      <c r="K334" s="3" t="str">
        <f>VLOOKUP(A334,'[3]Stock actif'!$A:$K,11,0)</f>
        <v>Générique</v>
      </c>
    </row>
    <row r="335" spans="1:11" x14ac:dyDescent="0.35">
      <c r="A335" s="3">
        <v>4403</v>
      </c>
      <c r="B335" s="3" t="s">
        <v>339</v>
      </c>
      <c r="C335" s="3" t="s">
        <v>4</v>
      </c>
      <c r="D335" s="3" t="s">
        <v>5</v>
      </c>
      <c r="E335" s="3"/>
      <c r="F335" s="3">
        <f>VLOOKUP(A335,[4]fnd_gfm_43298103!$B:$F,5,0)</f>
        <v>50</v>
      </c>
      <c r="G335" s="3">
        <f t="shared" si="10"/>
        <v>50</v>
      </c>
      <c r="H335" s="3">
        <f>VLOOKUP(A335,'[2]CUMP Articles'!$A:$H,8,0)</f>
        <v>1250</v>
      </c>
      <c r="I335" s="3">
        <f t="shared" si="11"/>
        <v>62500</v>
      </c>
      <c r="J335" s="3" t="str">
        <f>VLOOKUP(A335,'[3]Stock actif'!$A:$K,10,0)</f>
        <v>Non</v>
      </c>
      <c r="K335" s="3" t="str">
        <f>VLOOKUP(A335,'[3]Stock actif'!$A:$K,11,0)</f>
        <v>Générique</v>
      </c>
    </row>
    <row r="336" spans="1:11" x14ac:dyDescent="0.35">
      <c r="A336" s="3">
        <v>4410</v>
      </c>
      <c r="B336" s="3" t="s">
        <v>340</v>
      </c>
      <c r="C336" s="3" t="s">
        <v>4</v>
      </c>
      <c r="D336" s="3" t="s">
        <v>5</v>
      </c>
      <c r="E336" s="3">
        <f>VLOOKUP(A336,[1]fnd_gfm_43298102!$B:$F,5,0)</f>
        <v>22</v>
      </c>
      <c r="F336" s="3"/>
      <c r="G336" s="3">
        <f t="shared" si="10"/>
        <v>22</v>
      </c>
      <c r="H336" s="3">
        <f>VLOOKUP(A336,'[2]CUMP Articles'!$A:$H,8,0)</f>
        <v>6965.5172413793098</v>
      </c>
      <c r="I336" s="3">
        <f t="shared" si="11"/>
        <v>153241.37931034481</v>
      </c>
      <c r="J336" s="3" t="str">
        <f>VLOOKUP(A336,'[3]Stock actif'!$A:$K,10,0)</f>
        <v>Non</v>
      </c>
      <c r="K336" s="3" t="str">
        <f>VLOOKUP(A336,'[3]Stock actif'!$A:$K,11,0)</f>
        <v>Générique</v>
      </c>
    </row>
    <row r="337" spans="1:11" x14ac:dyDescent="0.35">
      <c r="A337" s="3">
        <v>4437</v>
      </c>
      <c r="B337" s="3" t="s">
        <v>341</v>
      </c>
      <c r="C337" s="3" t="s">
        <v>4</v>
      </c>
      <c r="D337" s="3" t="s">
        <v>5</v>
      </c>
      <c r="E337" s="3">
        <f>VLOOKUP(A337,[1]fnd_gfm_43298102!$B:$F,5,0)</f>
        <v>100</v>
      </c>
      <c r="F337" s="3">
        <f>VLOOKUP(A337,[4]fnd_gfm_43298103!$B:$F,5,0)</f>
        <v>92</v>
      </c>
      <c r="G337" s="3">
        <f t="shared" si="10"/>
        <v>192</v>
      </c>
      <c r="H337" s="3">
        <f>VLOOKUP(A337,'[2]CUMP Articles'!$A:$H,8,0)</f>
        <v>984</v>
      </c>
      <c r="I337" s="3">
        <f t="shared" si="11"/>
        <v>188928</v>
      </c>
      <c r="J337" s="3" t="str">
        <f>VLOOKUP(A337,'[3]Stock actif'!$A:$K,10,0)</f>
        <v>Non</v>
      </c>
      <c r="K337" s="3" t="str">
        <f>VLOOKUP(A337,'[3]Stock actif'!$A:$K,11,0)</f>
        <v>Générique</v>
      </c>
    </row>
    <row r="338" spans="1:11" x14ac:dyDescent="0.35">
      <c r="A338" s="3">
        <v>4451</v>
      </c>
      <c r="B338" s="3" t="s">
        <v>342</v>
      </c>
      <c r="C338" s="3" t="s">
        <v>4</v>
      </c>
      <c r="D338" s="3" t="s">
        <v>5</v>
      </c>
      <c r="E338" s="3"/>
      <c r="F338" s="3">
        <f>VLOOKUP(A338,[4]fnd_gfm_43298103!$B:$F,5,0)</f>
        <v>5</v>
      </c>
      <c r="G338" s="3">
        <f t="shared" si="10"/>
        <v>5</v>
      </c>
      <c r="H338" s="3">
        <f>VLOOKUP(A338,'[2]CUMP Articles'!$A:$H,8,0)</f>
        <v>18203</v>
      </c>
      <c r="I338" s="3">
        <f t="shared" si="11"/>
        <v>91015</v>
      </c>
      <c r="J338" s="3" t="str">
        <f>VLOOKUP(A338,'[3]Stock actif'!$A:$K,10,0)</f>
        <v>Oui</v>
      </c>
      <c r="K338" s="3" t="str">
        <f>VLOOKUP(A338,'[3]Stock actif'!$A:$K,11,0)</f>
        <v>Alcatel-Lucent</v>
      </c>
    </row>
    <row r="339" spans="1:11" x14ac:dyDescent="0.35">
      <c r="A339" s="3">
        <v>4452</v>
      </c>
      <c r="B339" s="3" t="s">
        <v>343</v>
      </c>
      <c r="C339" s="3" t="s">
        <v>4</v>
      </c>
      <c r="D339" s="3" t="s">
        <v>5</v>
      </c>
      <c r="E339" s="3">
        <f>VLOOKUP(A339,[1]fnd_gfm_43298102!$B:$F,5,0)</f>
        <v>494</v>
      </c>
      <c r="F339" s="3"/>
      <c r="G339" s="3">
        <f t="shared" si="10"/>
        <v>494</v>
      </c>
      <c r="H339" s="3">
        <f>VLOOKUP(A339,'[2]CUMP Articles'!$A:$H,8,0)</f>
        <v>2600.25471756656</v>
      </c>
      <c r="I339" s="3">
        <f t="shared" si="11"/>
        <v>1284525.8304778805</v>
      </c>
      <c r="J339" s="3" t="str">
        <f>VLOOKUP(A339,'[3]Stock actif'!$A:$K,10,0)</f>
        <v>Non</v>
      </c>
      <c r="K339" s="3" t="str">
        <f>VLOOKUP(A339,'[3]Stock actif'!$A:$K,11,0)</f>
        <v>Générique</v>
      </c>
    </row>
    <row r="340" spans="1:11" x14ac:dyDescent="0.35">
      <c r="A340" s="3">
        <v>4453</v>
      </c>
      <c r="B340" s="3" t="s">
        <v>344</v>
      </c>
      <c r="C340" s="3" t="s">
        <v>4</v>
      </c>
      <c r="D340" s="3" t="s">
        <v>5</v>
      </c>
      <c r="E340" s="3"/>
      <c r="F340" s="3">
        <f>VLOOKUP(A340,[4]fnd_gfm_43298103!$B:$F,5,0)</f>
        <v>5</v>
      </c>
      <c r="G340" s="3">
        <f t="shared" si="10"/>
        <v>5</v>
      </c>
      <c r="H340" s="3">
        <f>VLOOKUP(A340,'[2]CUMP Articles'!$A:$H,8,0)</f>
        <v>800</v>
      </c>
      <c r="I340" s="3">
        <f t="shared" si="11"/>
        <v>4000</v>
      </c>
      <c r="J340" s="3" t="str">
        <f>VLOOKUP(A340,'[3]Stock actif'!$A:$K,10,0)</f>
        <v>Non</v>
      </c>
      <c r="K340" s="3" t="str">
        <f>VLOOKUP(A340,'[3]Stock actif'!$A:$K,11,0)</f>
        <v>Générique</v>
      </c>
    </row>
    <row r="341" spans="1:11" x14ac:dyDescent="0.35">
      <c r="A341" s="3">
        <v>4469</v>
      </c>
      <c r="B341" s="3" t="s">
        <v>345</v>
      </c>
      <c r="C341" s="3" t="s">
        <v>4</v>
      </c>
      <c r="D341" s="3" t="s">
        <v>5</v>
      </c>
      <c r="E341" s="3"/>
      <c r="F341" s="3">
        <f>VLOOKUP(A341,[4]fnd_gfm_43298103!$B:$F,5,0)</f>
        <v>1</v>
      </c>
      <c r="G341" s="3">
        <f t="shared" si="10"/>
        <v>1</v>
      </c>
      <c r="H341" s="3">
        <f>VLOOKUP(A341,'[2]CUMP Articles'!$A:$H,8,0)</f>
        <v>1094845</v>
      </c>
      <c r="I341" s="3">
        <f t="shared" si="11"/>
        <v>1094845</v>
      </c>
      <c r="J341" s="3" t="str">
        <f>VLOOKUP(A341,'[3]Stock actif'!$A:$K,10,0)</f>
        <v>oui</v>
      </c>
      <c r="K341" s="3">
        <f>VLOOKUP(A341,'[3]Stock actif'!$A:$K,11,0)</f>
        <v>0</v>
      </c>
    </row>
    <row r="342" spans="1:11" x14ac:dyDescent="0.35">
      <c r="A342" s="3">
        <v>4496</v>
      </c>
      <c r="B342" s="3" t="s">
        <v>529</v>
      </c>
      <c r="C342" s="3" t="s">
        <v>4</v>
      </c>
      <c r="D342" s="3" t="s">
        <v>5</v>
      </c>
      <c r="E342" s="3">
        <f>VLOOKUP(A342,[1]fnd_gfm_43298102!$B:$F,5,0)</f>
        <v>1</v>
      </c>
      <c r="F342" s="3"/>
      <c r="G342" s="3">
        <f t="shared" si="10"/>
        <v>1</v>
      </c>
      <c r="H342" s="3">
        <f>VLOOKUP(A342,'[2]CUMP Articles'!$A:$H,8,0)</f>
        <v>9561.0418157142904</v>
      </c>
      <c r="I342" s="3">
        <f t="shared" si="11"/>
        <v>9561.0418157142904</v>
      </c>
      <c r="J342" s="3" t="str">
        <f>VLOOKUP(A342,'[3]Stock actif'!$A:$K,10,0)</f>
        <v>oui</v>
      </c>
      <c r="K342" s="3" t="str">
        <f>VLOOKUP(A342,'[3]Stock actif'!$A:$K,11,0)</f>
        <v>cisco</v>
      </c>
    </row>
    <row r="343" spans="1:11" x14ac:dyDescent="0.35">
      <c r="A343" s="3">
        <v>4501</v>
      </c>
      <c r="B343" s="3" t="s">
        <v>346</v>
      </c>
      <c r="C343" s="3" t="s">
        <v>4</v>
      </c>
      <c r="D343" s="3" t="s">
        <v>5</v>
      </c>
      <c r="E343" s="3">
        <f>VLOOKUP(A343,[1]fnd_gfm_43298102!$B:$F,5,0)</f>
        <v>7</v>
      </c>
      <c r="F343" s="3"/>
      <c r="G343" s="3">
        <f t="shared" si="10"/>
        <v>7</v>
      </c>
      <c r="H343" s="3">
        <f>VLOOKUP(A343,'[2]CUMP Articles'!$A:$H,8,0)</f>
        <v>46941</v>
      </c>
      <c r="I343" s="3">
        <f t="shared" si="11"/>
        <v>328587</v>
      </c>
      <c r="J343" s="3" t="str">
        <f>VLOOKUP(A343,'[3]Stock actif'!$A:$K,10,0)</f>
        <v>Oui</v>
      </c>
      <c r="K343" s="3" t="str">
        <f>VLOOKUP(A343,'[3]Stock actif'!$A:$K,11,0)</f>
        <v>Cisco</v>
      </c>
    </row>
    <row r="344" spans="1:11" x14ac:dyDescent="0.35">
      <c r="A344" s="3">
        <v>4513</v>
      </c>
      <c r="B344" s="3" t="s">
        <v>347</v>
      </c>
      <c r="C344" s="3" t="s">
        <v>4</v>
      </c>
      <c r="D344" s="3" t="s">
        <v>5</v>
      </c>
      <c r="E344" s="3">
        <f>VLOOKUP(A344,[1]fnd_gfm_43298102!$B:$F,5,0)</f>
        <v>4</v>
      </c>
      <c r="F344" s="3"/>
      <c r="G344" s="3">
        <f t="shared" si="10"/>
        <v>4</v>
      </c>
      <c r="H344" s="3">
        <f>VLOOKUP(A344,'[2]CUMP Articles'!$A:$H,8,0)</f>
        <v>176117.72099999999</v>
      </c>
      <c r="I344" s="3">
        <f t="shared" si="11"/>
        <v>704470.88399999996</v>
      </c>
      <c r="J344" s="3" t="str">
        <f>VLOOKUP(A344,'[3]Stock actif'!$A:$K,10,0)</f>
        <v>Oui</v>
      </c>
      <c r="K344" s="3" t="str">
        <f>VLOOKUP(A344,'[3]Stock actif'!$A:$K,11,0)</f>
        <v>Cisco</v>
      </c>
    </row>
    <row r="345" spans="1:11" x14ac:dyDescent="0.35">
      <c r="A345" s="3">
        <v>4520</v>
      </c>
      <c r="B345" s="3" t="s">
        <v>348</v>
      </c>
      <c r="C345" s="3" t="s">
        <v>4</v>
      </c>
      <c r="D345" s="3" t="s">
        <v>5</v>
      </c>
      <c r="E345" s="3">
        <f>VLOOKUP(A345,[1]fnd_gfm_43298102!$B:$F,5,0)</f>
        <v>10</v>
      </c>
      <c r="F345" s="3">
        <f>VLOOKUP(A345,[4]fnd_gfm_43298103!$B:$F,5,0)</f>
        <v>5</v>
      </c>
      <c r="G345" s="3">
        <f t="shared" si="10"/>
        <v>15</v>
      </c>
      <c r="H345" s="3">
        <f>VLOOKUP(A345,'[2]CUMP Articles'!$A:$H,8,0)</f>
        <v>800</v>
      </c>
      <c r="I345" s="3">
        <f t="shared" si="11"/>
        <v>12000</v>
      </c>
      <c r="J345" s="3" t="str">
        <f>VLOOKUP(A345,'[3]Stock actif'!$A:$K,10,0)</f>
        <v>Non</v>
      </c>
      <c r="K345" s="3" t="str">
        <f>VLOOKUP(A345,'[3]Stock actif'!$A:$K,11,0)</f>
        <v>Générique</v>
      </c>
    </row>
    <row r="346" spans="1:11" x14ac:dyDescent="0.35">
      <c r="A346" s="3">
        <v>4549</v>
      </c>
      <c r="B346" s="3" t="s">
        <v>528</v>
      </c>
      <c r="C346" s="3" t="s">
        <v>4</v>
      </c>
      <c r="D346" s="3" t="s">
        <v>5</v>
      </c>
      <c r="E346" s="3">
        <f>VLOOKUP(A346,[1]fnd_gfm_43298102!$B:$F,5,0)</f>
        <v>1</v>
      </c>
      <c r="F346" s="3"/>
      <c r="G346" s="3">
        <f t="shared" si="10"/>
        <v>1</v>
      </c>
      <c r="H346" s="3">
        <f>VLOOKUP(A346,'[2]CUMP Articles'!$A:$H,8,0)</f>
        <v>4059156.5612242902</v>
      </c>
      <c r="I346" s="3">
        <f t="shared" si="11"/>
        <v>4059156.5612242902</v>
      </c>
      <c r="J346" s="3" t="str">
        <f>VLOOKUP(A346,'[3]Stock actif'!$A:$K,10,0)</f>
        <v>oui</v>
      </c>
      <c r="K346" s="3" t="str">
        <f>VLOOKUP(A346,'[3]Stock actif'!$A:$K,11,0)</f>
        <v>cisco</v>
      </c>
    </row>
    <row r="347" spans="1:11" x14ac:dyDescent="0.35">
      <c r="A347" s="3">
        <v>4550</v>
      </c>
      <c r="B347" s="3" t="s">
        <v>349</v>
      </c>
      <c r="C347" s="3" t="s">
        <v>4</v>
      </c>
      <c r="D347" s="3" t="s">
        <v>5</v>
      </c>
      <c r="E347" s="3">
        <f>VLOOKUP(A347,[1]fnd_gfm_43298102!$B:$F,5,0)</f>
        <v>5</v>
      </c>
      <c r="F347" s="3"/>
      <c r="G347" s="3">
        <f t="shared" si="10"/>
        <v>5</v>
      </c>
      <c r="H347" s="3">
        <f>VLOOKUP(A347,'[2]CUMP Articles'!$A:$H,8,0)</f>
        <v>27976</v>
      </c>
      <c r="I347" s="3">
        <f t="shared" si="11"/>
        <v>139880</v>
      </c>
      <c r="J347" s="3" t="str">
        <f>VLOOKUP(A347,'[3]Stock actif'!$A:$K,10,0)</f>
        <v>Oui</v>
      </c>
      <c r="K347" s="3" t="str">
        <f>VLOOKUP(A347,'[3]Stock actif'!$A:$K,11,0)</f>
        <v>Ruckus</v>
      </c>
    </row>
    <row r="348" spans="1:11" x14ac:dyDescent="0.35">
      <c r="A348" s="3">
        <v>4555</v>
      </c>
      <c r="B348" s="3" t="s">
        <v>525</v>
      </c>
      <c r="C348" s="3" t="s">
        <v>4</v>
      </c>
      <c r="D348" s="3" t="s">
        <v>5</v>
      </c>
      <c r="E348" s="3">
        <f>VLOOKUP(A348,[1]fnd_gfm_43298102!$B:$F,5,0)</f>
        <v>1</v>
      </c>
      <c r="F348" s="3"/>
      <c r="G348" s="3">
        <f t="shared" si="10"/>
        <v>1</v>
      </c>
      <c r="H348" s="3">
        <f>VLOOKUP(A348,'[2]CUMP Articles'!$A:$H,8,0)</f>
        <v>220669.51694369299</v>
      </c>
      <c r="I348" s="3">
        <f t="shared" si="11"/>
        <v>220669.51694369299</v>
      </c>
      <c r="J348" s="3" t="str">
        <f>VLOOKUP(A348,'[3]Stock actif'!$A:$K,10,0)</f>
        <v>Oui</v>
      </c>
      <c r="K348" s="3" t="str">
        <f>VLOOKUP(A348,'[3]Stock actif'!$A:$K,11,0)</f>
        <v>Fortinet</v>
      </c>
    </row>
    <row r="349" spans="1:11" x14ac:dyDescent="0.35">
      <c r="A349" s="3">
        <v>4565</v>
      </c>
      <c r="B349" s="3" t="s">
        <v>350</v>
      </c>
      <c r="C349" s="3" t="s">
        <v>4</v>
      </c>
      <c r="D349" s="3" t="s">
        <v>5</v>
      </c>
      <c r="E349" s="3"/>
      <c r="F349" s="3">
        <f>VLOOKUP(A349,[4]fnd_gfm_43298103!$B:$F,5,0)</f>
        <v>3</v>
      </c>
      <c r="G349" s="3">
        <f t="shared" si="10"/>
        <v>3</v>
      </c>
      <c r="H349" s="3">
        <f>VLOOKUP(A349,'[2]CUMP Articles'!$A:$H,8,0)</f>
        <v>30361</v>
      </c>
      <c r="I349" s="3">
        <f t="shared" si="11"/>
        <v>91083</v>
      </c>
      <c r="J349" s="3" t="str">
        <f>VLOOKUP(A349,'[3]Stock actif'!$A:$K,10,0)</f>
        <v>Non</v>
      </c>
      <c r="K349" s="3" t="str">
        <f>VLOOKUP(A349,'[3]Stock actif'!$A:$K,11,0)</f>
        <v>Legrand</v>
      </c>
    </row>
    <row r="350" spans="1:11" x14ac:dyDescent="0.35">
      <c r="A350" s="3">
        <v>4566</v>
      </c>
      <c r="B350" s="3" t="s">
        <v>351</v>
      </c>
      <c r="C350" s="3" t="s">
        <v>4</v>
      </c>
      <c r="D350" s="3" t="s">
        <v>5</v>
      </c>
      <c r="E350" s="3">
        <f>VLOOKUP(A350,[1]fnd_gfm_43298102!$B:$F,5,0)</f>
        <v>16</v>
      </c>
      <c r="F350" s="3"/>
      <c r="G350" s="3">
        <f t="shared" si="10"/>
        <v>16</v>
      </c>
      <c r="H350" s="3">
        <f>VLOOKUP(A350,'[2]CUMP Articles'!$A:$H,8,0)</f>
        <v>6406.25</v>
      </c>
      <c r="I350" s="3">
        <f t="shared" si="11"/>
        <v>102500</v>
      </c>
      <c r="J350" s="3" t="str">
        <f>VLOOKUP(A350,'[3]Stock actif'!$A:$K,10,0)</f>
        <v>Non</v>
      </c>
      <c r="K350" s="3" t="str">
        <f>VLOOKUP(A350,'[3]Stock actif'!$A:$K,11,0)</f>
        <v>Legrand</v>
      </c>
    </row>
    <row r="351" spans="1:11" x14ac:dyDescent="0.35">
      <c r="A351" s="3">
        <v>4570</v>
      </c>
      <c r="B351" s="3" t="s">
        <v>352</v>
      </c>
      <c r="C351" s="3" t="s">
        <v>4</v>
      </c>
      <c r="D351" s="3" t="s">
        <v>5</v>
      </c>
      <c r="E351" s="3"/>
      <c r="F351" s="3">
        <f>VLOOKUP(A351,[4]fnd_gfm_43298103!$B:$F,5,0)</f>
        <v>2</v>
      </c>
      <c r="G351" s="3">
        <f t="shared" si="10"/>
        <v>2</v>
      </c>
      <c r="H351" s="3">
        <f>VLOOKUP(A351,'[2]CUMP Articles'!$A:$H,8,0)</f>
        <v>162386</v>
      </c>
      <c r="I351" s="3">
        <f t="shared" si="11"/>
        <v>324772</v>
      </c>
      <c r="J351" s="3" t="str">
        <f>VLOOKUP(A351,'[3]Stock actif'!$A:$K,10,0)</f>
        <v>Non</v>
      </c>
      <c r="K351" s="3" t="str">
        <f>VLOOKUP(A351,'[3]Stock actif'!$A:$K,11,0)</f>
        <v>Legrand</v>
      </c>
    </row>
    <row r="352" spans="1:11" x14ac:dyDescent="0.35">
      <c r="A352" s="3">
        <v>4575</v>
      </c>
      <c r="B352" s="3" t="s">
        <v>353</v>
      </c>
      <c r="C352" s="3" t="s">
        <v>4</v>
      </c>
      <c r="D352" s="3" t="s">
        <v>5</v>
      </c>
      <c r="E352" s="3"/>
      <c r="F352" s="3">
        <f>VLOOKUP(A352,[4]fnd_gfm_43298103!$B:$F,5,0)</f>
        <v>3200</v>
      </c>
      <c r="G352" s="3">
        <f t="shared" si="10"/>
        <v>3200</v>
      </c>
      <c r="H352" s="3">
        <f>VLOOKUP(A352,'[2]CUMP Articles'!$A:$H,8,0)</f>
        <v>3300</v>
      </c>
      <c r="I352" s="3">
        <f t="shared" si="11"/>
        <v>10560000</v>
      </c>
      <c r="J352" s="3" t="str">
        <f>VLOOKUP(A352,'[3]Stock actif'!$A:$K,10,0)</f>
        <v>Non</v>
      </c>
      <c r="K352" s="3" t="str">
        <f>VLOOKUP(A352,'[3]Stock actif'!$A:$K,11,0)</f>
        <v>Générique</v>
      </c>
    </row>
    <row r="353" spans="1:11" x14ac:dyDescent="0.35">
      <c r="A353" s="3">
        <v>4588</v>
      </c>
      <c r="B353" s="3" t="s">
        <v>354</v>
      </c>
      <c r="C353" s="3" t="s">
        <v>4</v>
      </c>
      <c r="D353" s="3" t="s">
        <v>5</v>
      </c>
      <c r="E353" s="3">
        <f>VLOOKUP(A353,[1]fnd_gfm_43298102!$B:$F,5,0)</f>
        <v>6</v>
      </c>
      <c r="F353" s="3">
        <f>VLOOKUP(A353,[4]fnd_gfm_43298103!$B:$F,5,0)</f>
        <v>6</v>
      </c>
      <c r="G353" s="3">
        <f t="shared" si="10"/>
        <v>12</v>
      </c>
      <c r="H353" s="3">
        <f>VLOOKUP(A353,'[2]CUMP Articles'!$A:$H,8,0)</f>
        <v>715690.90006989497</v>
      </c>
      <c r="I353" s="3">
        <f t="shared" si="11"/>
        <v>8588290.8008387387</v>
      </c>
      <c r="J353" s="3" t="str">
        <f>VLOOKUP(A353,'[3]Stock actif'!$A:$K,10,0)</f>
        <v>Oui</v>
      </c>
      <c r="K353" s="3" t="str">
        <f>VLOOKUP(A353,'[3]Stock actif'!$A:$K,11,0)</f>
        <v>Fortinet</v>
      </c>
    </row>
    <row r="354" spans="1:11" x14ac:dyDescent="0.35">
      <c r="A354" s="3">
        <v>4609</v>
      </c>
      <c r="B354" s="3" t="s">
        <v>355</v>
      </c>
      <c r="C354" s="3" t="s">
        <v>4</v>
      </c>
      <c r="D354" s="3" t="s">
        <v>5</v>
      </c>
      <c r="E354" s="3"/>
      <c r="F354" s="3">
        <f>VLOOKUP(A354,[4]fnd_gfm_43298103!$B:$F,5,0)</f>
        <v>2</v>
      </c>
      <c r="G354" s="3">
        <f t="shared" si="10"/>
        <v>2</v>
      </c>
      <c r="H354" s="3">
        <f>VLOOKUP(A354,'[2]CUMP Articles'!$A:$H,8,0)</f>
        <v>10266</v>
      </c>
      <c r="I354" s="3">
        <f t="shared" si="11"/>
        <v>20532</v>
      </c>
      <c r="J354" s="3" t="str">
        <f>VLOOKUP(A354,'[3]Stock actif'!$A:$K,10,0)</f>
        <v>Oui</v>
      </c>
      <c r="K354" s="3" t="str">
        <f>VLOOKUP(A354,'[3]Stock actif'!$A:$K,11,0)</f>
        <v>Nexans</v>
      </c>
    </row>
    <row r="355" spans="1:11" x14ac:dyDescent="0.35">
      <c r="A355" s="3">
        <v>4610</v>
      </c>
      <c r="B355" s="3" t="s">
        <v>356</v>
      </c>
      <c r="C355" s="3" t="s">
        <v>4</v>
      </c>
      <c r="D355" s="3" t="s">
        <v>5</v>
      </c>
      <c r="E355" s="3">
        <f>VLOOKUP(A355,[1]fnd_gfm_43298102!$B:$F,5,0)</f>
        <v>2</v>
      </c>
      <c r="F355" s="3"/>
      <c r="G355" s="3">
        <f t="shared" si="10"/>
        <v>2</v>
      </c>
      <c r="H355" s="3">
        <f>VLOOKUP(A355,'[2]CUMP Articles'!$A:$H,8,0)</f>
        <v>2361</v>
      </c>
      <c r="I355" s="3">
        <f t="shared" si="11"/>
        <v>4722</v>
      </c>
      <c r="J355" s="3" t="str">
        <f>VLOOKUP(A355,'[3]Stock actif'!$A:$K,10,0)</f>
        <v>Oui</v>
      </c>
      <c r="K355" s="3" t="str">
        <f>VLOOKUP(A355,'[3]Stock actif'!$A:$K,11,0)</f>
        <v>Nexans</v>
      </c>
    </row>
    <row r="356" spans="1:11" x14ac:dyDescent="0.35">
      <c r="A356" s="3">
        <v>4635</v>
      </c>
      <c r="B356" s="3" t="s">
        <v>357</v>
      </c>
      <c r="C356" s="3" t="s">
        <v>4</v>
      </c>
      <c r="D356" s="3" t="s">
        <v>5</v>
      </c>
      <c r="E356" s="3"/>
      <c r="F356" s="3">
        <f>VLOOKUP(A356,[4]fnd_gfm_43298103!$B:$F,5,0)</f>
        <v>5</v>
      </c>
      <c r="G356" s="3">
        <f t="shared" si="10"/>
        <v>5</v>
      </c>
      <c r="H356" s="3">
        <f>VLOOKUP(A356,'[2]CUMP Articles'!$A:$H,8,0)</f>
        <v>229584.95</v>
      </c>
      <c r="I356" s="3">
        <f t="shared" si="11"/>
        <v>1147924.75</v>
      </c>
      <c r="J356" s="3" t="str">
        <f>VLOOKUP(A356,'[3]Stock actif'!$A:$K,10,0)</f>
        <v>Oui</v>
      </c>
      <c r="K356" s="3" t="str">
        <f>VLOOKUP(A356,'[3]Stock actif'!$A:$K,11,0)</f>
        <v>Alcatel-Lucent</v>
      </c>
    </row>
    <row r="357" spans="1:11" x14ac:dyDescent="0.35">
      <c r="A357" s="3">
        <v>4637</v>
      </c>
      <c r="B357" s="3" t="s">
        <v>358</v>
      </c>
      <c r="C357" s="3" t="s">
        <v>4</v>
      </c>
      <c r="D357" s="3" t="s">
        <v>5</v>
      </c>
      <c r="E357" s="3">
        <f>VLOOKUP(A357,[1]fnd_gfm_43298102!$B:$F,5,0)</f>
        <v>2</v>
      </c>
      <c r="F357" s="3">
        <f>VLOOKUP(A357,[4]fnd_gfm_43298103!$B:$F,5,0)</f>
        <v>15</v>
      </c>
      <c r="G357" s="3">
        <f t="shared" si="10"/>
        <v>17</v>
      </c>
      <c r="H357" s="3">
        <f>VLOOKUP(A357,'[2]CUMP Articles'!$A:$H,8,0)</f>
        <v>159814.97818181801</v>
      </c>
      <c r="I357" s="3">
        <f t="shared" si="11"/>
        <v>2716854.6290909061</v>
      </c>
      <c r="J357" s="3" t="str">
        <f>VLOOKUP(A357,'[3]Stock actif'!$A:$K,10,0)</f>
        <v>Oui</v>
      </c>
      <c r="K357" s="3" t="str">
        <f>VLOOKUP(A357,'[3]Stock actif'!$A:$K,11,0)</f>
        <v>Alcatel-Lucent</v>
      </c>
    </row>
    <row r="358" spans="1:11" x14ac:dyDescent="0.35">
      <c r="A358" s="3">
        <v>4641</v>
      </c>
      <c r="B358" s="3" t="s">
        <v>359</v>
      </c>
      <c r="C358" s="3" t="s">
        <v>4</v>
      </c>
      <c r="D358" s="3" t="s">
        <v>5</v>
      </c>
      <c r="E358" s="3"/>
      <c r="F358" s="3">
        <f>VLOOKUP(A358,[4]fnd_gfm_43298103!$B:$F,5,0)</f>
        <v>1</v>
      </c>
      <c r="G358" s="3">
        <f t="shared" si="10"/>
        <v>1</v>
      </c>
      <c r="H358" s="3">
        <f>VLOOKUP(A358,'[2]CUMP Articles'!$A:$H,8,0)</f>
        <v>198103</v>
      </c>
      <c r="I358" s="3">
        <f t="shared" si="11"/>
        <v>198103</v>
      </c>
      <c r="J358" s="3" t="str">
        <f>VLOOKUP(A358,'[3]Stock actif'!$A:$K,10,0)</f>
        <v>Oui</v>
      </c>
      <c r="K358" s="3" t="str">
        <f>VLOOKUP(A358,'[3]Stock actif'!$A:$K,11,0)</f>
        <v>Alcatel-Lucent</v>
      </c>
    </row>
    <row r="359" spans="1:11" x14ac:dyDescent="0.35">
      <c r="A359" s="3">
        <v>4643</v>
      </c>
      <c r="B359" s="3" t="s">
        <v>356</v>
      </c>
      <c r="C359" s="3" t="s">
        <v>4</v>
      </c>
      <c r="D359" s="3" t="s">
        <v>5</v>
      </c>
      <c r="E359" s="3"/>
      <c r="F359" s="3">
        <f>VLOOKUP(A359,[4]fnd_gfm_43298103!$B:$F,5,0)</f>
        <v>90</v>
      </c>
      <c r="G359" s="3">
        <f t="shared" si="10"/>
        <v>90</v>
      </c>
      <c r="H359" s="3">
        <f>VLOOKUP(A359,'[2]CUMP Articles'!$A:$H,8,0)</f>
        <v>2314</v>
      </c>
      <c r="I359" s="3">
        <f t="shared" si="11"/>
        <v>208260</v>
      </c>
      <c r="J359" s="3" t="str">
        <f>VLOOKUP(A359,'[3]Stock actif'!$A:$K,10,0)</f>
        <v>Oui</v>
      </c>
      <c r="K359" s="3" t="str">
        <f>VLOOKUP(A359,'[3]Stock actif'!$A:$K,11,0)</f>
        <v>Nexans</v>
      </c>
    </row>
    <row r="360" spans="1:11" x14ac:dyDescent="0.35">
      <c r="A360" s="3">
        <v>4660</v>
      </c>
      <c r="B360" s="3" t="s">
        <v>360</v>
      </c>
      <c r="C360" s="3" t="s">
        <v>4</v>
      </c>
      <c r="D360" s="3" t="s">
        <v>5</v>
      </c>
      <c r="E360" s="3"/>
      <c r="F360" s="3">
        <f>VLOOKUP(A360,[4]fnd_gfm_43298103!$B:$F,5,0)</f>
        <v>1</v>
      </c>
      <c r="G360" s="3">
        <f t="shared" si="10"/>
        <v>1</v>
      </c>
      <c r="H360" s="3">
        <f>VLOOKUP(A360,'[2]CUMP Articles'!$A:$H,8,0)</f>
        <v>443656</v>
      </c>
      <c r="I360" s="3">
        <f t="shared" si="11"/>
        <v>443656</v>
      </c>
      <c r="J360" s="3" t="str">
        <f>VLOOKUP(A360,'[3]Stock actif'!$A:$K,10,0)</f>
        <v>Oui</v>
      </c>
      <c r="K360" s="3" t="str">
        <f>VLOOKUP(A360,'[3]Stock actif'!$A:$K,11,0)</f>
        <v>Générique</v>
      </c>
    </row>
    <row r="361" spans="1:11" x14ac:dyDescent="0.35">
      <c r="A361" s="3">
        <v>4662</v>
      </c>
      <c r="B361" s="3" t="s">
        <v>361</v>
      </c>
      <c r="C361" s="3" t="s">
        <v>4</v>
      </c>
      <c r="D361" s="3" t="s">
        <v>5</v>
      </c>
      <c r="E361" s="3"/>
      <c r="F361" s="3">
        <f>VLOOKUP(A361,[4]fnd_gfm_43298103!$B:$F,5,0)</f>
        <v>1060</v>
      </c>
      <c r="G361" s="3">
        <f t="shared" si="10"/>
        <v>1060</v>
      </c>
      <c r="H361" s="3">
        <f>VLOOKUP(A361,'[2]CUMP Articles'!$A:$H,8,0)</f>
        <v>3938</v>
      </c>
      <c r="I361" s="3">
        <f t="shared" si="11"/>
        <v>4174280</v>
      </c>
      <c r="J361" s="3" t="str">
        <f>VLOOKUP(A361,'[3]Stock actif'!$A:$K,10,0)</f>
        <v>Non</v>
      </c>
      <c r="K361" s="3" t="str">
        <f>VLOOKUP(A361,'[3]Stock actif'!$A:$K,11,0)</f>
        <v>Générique</v>
      </c>
    </row>
    <row r="362" spans="1:11" x14ac:dyDescent="0.35">
      <c r="A362" s="3">
        <v>4663</v>
      </c>
      <c r="B362" s="3" t="s">
        <v>362</v>
      </c>
      <c r="C362" s="3" t="s">
        <v>4</v>
      </c>
      <c r="D362" s="3" t="s">
        <v>5</v>
      </c>
      <c r="E362" s="3"/>
      <c r="F362" s="3">
        <f>VLOOKUP(A362,[4]fnd_gfm_43298103!$B:$F,5,0)</f>
        <v>20</v>
      </c>
      <c r="G362" s="3">
        <f t="shared" si="10"/>
        <v>20</v>
      </c>
      <c r="H362" s="3">
        <f>VLOOKUP(A362,'[2]CUMP Articles'!$A:$H,8,0)</f>
        <v>231</v>
      </c>
      <c r="I362" s="3">
        <f t="shared" si="11"/>
        <v>4620</v>
      </c>
      <c r="J362" s="3" t="str">
        <f>VLOOKUP(A362,'[3]Stock actif'!$A:$K,10,0)</f>
        <v>Non</v>
      </c>
      <c r="K362" s="3" t="str">
        <f>VLOOKUP(A362,'[3]Stock actif'!$A:$K,11,0)</f>
        <v>Générique</v>
      </c>
    </row>
    <row r="363" spans="1:11" x14ac:dyDescent="0.35">
      <c r="A363" s="3">
        <v>4676</v>
      </c>
      <c r="B363" s="3" t="s">
        <v>363</v>
      </c>
      <c r="C363" s="3" t="s">
        <v>4</v>
      </c>
      <c r="D363" s="3" t="s">
        <v>5</v>
      </c>
      <c r="E363" s="3">
        <f>VLOOKUP(A363,[1]fnd_gfm_43298102!$B:$F,5,0)</f>
        <v>1</v>
      </c>
      <c r="F363" s="3">
        <f>VLOOKUP(A363,[4]fnd_gfm_43298103!$B:$F,5,0)</f>
        <v>15</v>
      </c>
      <c r="G363" s="3">
        <f t="shared" si="10"/>
        <v>16</v>
      </c>
      <c r="H363" s="3">
        <f>VLOOKUP(A363,'[2]CUMP Articles'!$A:$H,8,0)</f>
        <v>499990</v>
      </c>
      <c r="I363" s="3">
        <f t="shared" si="11"/>
        <v>7999840</v>
      </c>
      <c r="J363" s="3" t="str">
        <f>VLOOKUP(A363,'[3]Stock actif'!$A:$K,10,0)</f>
        <v>Oui</v>
      </c>
      <c r="K363" s="3" t="str">
        <f>VLOOKUP(A363,'[3]Stock actif'!$A:$K,11,0)</f>
        <v>Cisco</v>
      </c>
    </row>
    <row r="364" spans="1:11" x14ac:dyDescent="0.35">
      <c r="A364" s="3">
        <v>4681</v>
      </c>
      <c r="B364" s="3" t="s">
        <v>364</v>
      </c>
      <c r="C364" s="3" t="s">
        <v>4</v>
      </c>
      <c r="D364" s="3" t="s">
        <v>5</v>
      </c>
      <c r="E364" s="3"/>
      <c r="F364" s="3">
        <f>VLOOKUP(A364,[4]fnd_gfm_43298103!$B:$F,5,0)</f>
        <v>15</v>
      </c>
      <c r="G364" s="3">
        <f t="shared" si="10"/>
        <v>15</v>
      </c>
      <c r="H364" s="3">
        <f>VLOOKUP(A364,'[2]CUMP Articles'!$A:$H,8,0)</f>
        <v>13250</v>
      </c>
      <c r="I364" s="3">
        <f t="shared" si="11"/>
        <v>198750</v>
      </c>
      <c r="J364" s="3" t="str">
        <f>VLOOKUP(A364,'[3]Stock actif'!$A:$K,10,0)</f>
        <v>Non</v>
      </c>
      <c r="K364" s="3" t="str">
        <f>VLOOKUP(A364,'[3]Stock actif'!$A:$K,11,0)</f>
        <v>Legrand</v>
      </c>
    </row>
    <row r="365" spans="1:11" x14ac:dyDescent="0.35">
      <c r="A365" s="3">
        <v>4682</v>
      </c>
      <c r="B365" s="3" t="s">
        <v>524</v>
      </c>
      <c r="C365" s="3" t="s">
        <v>4</v>
      </c>
      <c r="D365" s="3" t="s">
        <v>5</v>
      </c>
      <c r="E365" s="3">
        <f>VLOOKUP(A365,[1]fnd_gfm_43298102!$B:$F,5,0)</f>
        <v>3</v>
      </c>
      <c r="F365" s="3"/>
      <c r="G365" s="3">
        <f t="shared" si="10"/>
        <v>3</v>
      </c>
      <c r="H365" s="3">
        <f>VLOOKUP(A365,'[2]CUMP Articles'!$A:$H,8,0)</f>
        <v>137082.57870744501</v>
      </c>
      <c r="I365" s="3">
        <f t="shared" si="11"/>
        <v>411247.73612233502</v>
      </c>
      <c r="J365" s="3" t="str">
        <f>VLOOKUP(A365,'[3]Stock actif'!$A:$K,10,0)</f>
        <v>Oui</v>
      </c>
      <c r="K365" s="3" t="str">
        <f>VLOOKUP(A365,'[3]Stock actif'!$A:$K,11,0)</f>
        <v>Fortinet</v>
      </c>
    </row>
    <row r="366" spans="1:11" x14ac:dyDescent="0.35">
      <c r="A366" s="3">
        <v>4716</v>
      </c>
      <c r="B366" s="3" t="s">
        <v>365</v>
      </c>
      <c r="C366" s="3" t="s">
        <v>4</v>
      </c>
      <c r="D366" s="3" t="s">
        <v>5</v>
      </c>
      <c r="E366" s="3">
        <f>VLOOKUP(A366,[1]fnd_gfm_43298102!$B:$F,5,0)</f>
        <v>4</v>
      </c>
      <c r="F366" s="3">
        <f>VLOOKUP(A366,[4]fnd_gfm_43298103!$B:$F,5,0)</f>
        <v>57</v>
      </c>
      <c r="G366" s="3">
        <f t="shared" si="10"/>
        <v>61</v>
      </c>
      <c r="H366" s="3">
        <f>VLOOKUP(A366,'[2]CUMP Articles'!$A:$H,8,0)</f>
        <v>180060.19649999999</v>
      </c>
      <c r="I366" s="3">
        <f t="shared" si="11"/>
        <v>10983671.986499999</v>
      </c>
      <c r="J366" s="3" t="str">
        <f>VLOOKUP(A366,'[3]Stock actif'!$A:$K,10,0)</f>
        <v>Oui</v>
      </c>
      <c r="K366" s="3" t="str">
        <f>VLOOKUP(A366,'[3]Stock actif'!$A:$K,11,0)</f>
        <v>Alcatel-Lucent</v>
      </c>
    </row>
    <row r="367" spans="1:11" x14ac:dyDescent="0.35">
      <c r="A367" s="3">
        <v>4809</v>
      </c>
      <c r="B367" s="3" t="s">
        <v>366</v>
      </c>
      <c r="C367" s="3" t="s">
        <v>4</v>
      </c>
      <c r="D367" s="3" t="s">
        <v>5</v>
      </c>
      <c r="E367" s="3">
        <f>VLOOKUP(A367,[1]fnd_gfm_43298102!$B:$F,5,0)</f>
        <v>1</v>
      </c>
      <c r="F367" s="3"/>
      <c r="G367" s="3">
        <f t="shared" si="10"/>
        <v>1</v>
      </c>
      <c r="H367" s="3">
        <f>VLOOKUP(A367,'[2]CUMP Articles'!$A:$H,8,0)</f>
        <v>48070.317933636303</v>
      </c>
      <c r="I367" s="3">
        <f t="shared" si="11"/>
        <v>48070.317933636303</v>
      </c>
      <c r="J367" s="3" t="str">
        <f>VLOOKUP(A367,'[3]Stock actif'!$A:$K,10,0)</f>
        <v>Oui</v>
      </c>
      <c r="K367" s="3" t="str">
        <f>VLOOKUP(A367,'[3]Stock actif'!$A:$K,11,0)</f>
        <v>Générique</v>
      </c>
    </row>
    <row r="368" spans="1:11" x14ac:dyDescent="0.35">
      <c r="A368" s="3">
        <v>4810</v>
      </c>
      <c r="B368" s="3" t="s">
        <v>367</v>
      </c>
      <c r="C368" s="3" t="s">
        <v>4</v>
      </c>
      <c r="D368" s="3" t="s">
        <v>5</v>
      </c>
      <c r="E368" s="3">
        <f>VLOOKUP(A368,[1]fnd_gfm_43298102!$B:$F,5,0)</f>
        <v>24</v>
      </c>
      <c r="F368" s="3"/>
      <c r="G368" s="3">
        <f t="shared" si="10"/>
        <v>24</v>
      </c>
      <c r="H368" s="3">
        <f>VLOOKUP(A368,'[2]CUMP Articles'!$A:$H,8,0)</f>
        <v>3727</v>
      </c>
      <c r="I368" s="3">
        <f t="shared" si="11"/>
        <v>89448</v>
      </c>
      <c r="J368" s="3" t="str">
        <f>VLOOKUP(A368,'[3]Stock actif'!$A:$K,10,0)</f>
        <v>Non</v>
      </c>
      <c r="K368" s="3" t="str">
        <f>VLOOKUP(A368,'[3]Stock actif'!$A:$K,11,0)</f>
        <v>Générique</v>
      </c>
    </row>
    <row r="369" spans="1:11" x14ac:dyDescent="0.35">
      <c r="A369" s="3">
        <v>4811</v>
      </c>
      <c r="B369" s="3" t="s">
        <v>368</v>
      </c>
      <c r="C369" s="3" t="s">
        <v>4</v>
      </c>
      <c r="D369" s="3" t="s">
        <v>5</v>
      </c>
      <c r="E369" s="3">
        <f>VLOOKUP(A369,[1]fnd_gfm_43298102!$B:$F,5,0)</f>
        <v>3</v>
      </c>
      <c r="F369" s="3"/>
      <c r="G369" s="3">
        <f t="shared" si="10"/>
        <v>3</v>
      </c>
      <c r="H369" s="3">
        <f>VLOOKUP(A369,'[2]CUMP Articles'!$A:$H,8,0)</f>
        <v>38298.015337335099</v>
      </c>
      <c r="I369" s="3">
        <f t="shared" si="11"/>
        <v>114894.0460120053</v>
      </c>
      <c r="J369" s="3" t="str">
        <f>VLOOKUP(A369,'[3]Stock actif'!$A:$K,10,0)</f>
        <v>Oui</v>
      </c>
      <c r="K369" s="3" t="str">
        <f>VLOOKUP(A369,'[3]Stock actif'!$A:$K,11,0)</f>
        <v>Fortinet</v>
      </c>
    </row>
    <row r="370" spans="1:11" x14ac:dyDescent="0.35">
      <c r="A370" s="3">
        <v>4812</v>
      </c>
      <c r="B370" s="3" t="s">
        <v>369</v>
      </c>
      <c r="C370" s="3" t="s">
        <v>4</v>
      </c>
      <c r="D370" s="3" t="s">
        <v>5</v>
      </c>
      <c r="E370" s="3">
        <f>VLOOKUP(A370,[1]fnd_gfm_43298102!$B:$F,5,0)</f>
        <v>3</v>
      </c>
      <c r="F370" s="3"/>
      <c r="G370" s="3">
        <f t="shared" si="10"/>
        <v>3</v>
      </c>
      <c r="H370" s="3">
        <f>VLOOKUP(A370,'[2]CUMP Articles'!$A:$H,8,0)</f>
        <v>16398.924999999999</v>
      </c>
      <c r="I370" s="3">
        <f t="shared" si="11"/>
        <v>49196.774999999994</v>
      </c>
      <c r="J370" s="3" t="str">
        <f>VLOOKUP(A370,'[3]Stock actif'!$A:$K,10,0)</f>
        <v>Oui</v>
      </c>
      <c r="K370" s="3" t="str">
        <f>VLOOKUP(A370,'[3]Stock actif'!$A:$K,11,0)</f>
        <v>Générique</v>
      </c>
    </row>
    <row r="371" spans="1:11" x14ac:dyDescent="0.35">
      <c r="A371" s="3">
        <v>4834</v>
      </c>
      <c r="B371" s="3" t="s">
        <v>370</v>
      </c>
      <c r="C371" s="3" t="s">
        <v>4</v>
      </c>
      <c r="D371" s="3" t="s">
        <v>5</v>
      </c>
      <c r="E371" s="3"/>
      <c r="F371" s="3">
        <f>VLOOKUP(A371,[4]fnd_gfm_43298103!$B:$F,5,0)</f>
        <v>1</v>
      </c>
      <c r="G371" s="3">
        <f t="shared" si="10"/>
        <v>1</v>
      </c>
      <c r="H371" s="3">
        <f>VLOOKUP(A371,'[2]CUMP Articles'!$A:$H,8,0)</f>
        <v>626929</v>
      </c>
      <c r="I371" s="3">
        <f t="shared" si="11"/>
        <v>626929</v>
      </c>
      <c r="J371" s="3" t="str">
        <f>VLOOKUP(A371,'[3]Stock actif'!$A:$K,10,0)</f>
        <v>Oui</v>
      </c>
      <c r="K371" s="3" t="str">
        <f>VLOOKUP(A371,'[3]Stock actif'!$A:$K,11,0)</f>
        <v>Cisco</v>
      </c>
    </row>
    <row r="372" spans="1:11" x14ac:dyDescent="0.35">
      <c r="A372" s="3">
        <v>4837</v>
      </c>
      <c r="B372" s="3" t="s">
        <v>371</v>
      </c>
      <c r="C372" s="3" t="s">
        <v>4</v>
      </c>
      <c r="D372" s="3" t="s">
        <v>5</v>
      </c>
      <c r="E372" s="3"/>
      <c r="F372" s="3">
        <f>VLOOKUP(A372,[4]fnd_gfm_43298103!$B:$F,5,0)</f>
        <v>2</v>
      </c>
      <c r="G372" s="3">
        <f t="shared" si="10"/>
        <v>2</v>
      </c>
      <c r="H372" s="3">
        <f>VLOOKUP(A372,'[2]CUMP Articles'!$A:$H,8,0)</f>
        <v>389346.56</v>
      </c>
      <c r="I372" s="3">
        <f t="shared" si="11"/>
        <v>778693.12</v>
      </c>
      <c r="J372" s="3" t="str">
        <f>VLOOKUP(A372,'[3]Stock actif'!$A:$K,10,0)</f>
        <v>Oui</v>
      </c>
      <c r="K372" s="3" t="str">
        <f>VLOOKUP(A372,'[3]Stock actif'!$A:$K,11,0)</f>
        <v>Cisco</v>
      </c>
    </row>
    <row r="373" spans="1:11" x14ac:dyDescent="0.35">
      <c r="A373" s="3">
        <v>4859</v>
      </c>
      <c r="B373" s="3" t="s">
        <v>372</v>
      </c>
      <c r="C373" s="3" t="s">
        <v>4</v>
      </c>
      <c r="D373" s="3" t="s">
        <v>5</v>
      </c>
      <c r="E373" s="3"/>
      <c r="F373" s="3">
        <f>VLOOKUP(A373,[4]fnd_gfm_43298103!$B:$F,5,0)</f>
        <v>204</v>
      </c>
      <c r="G373" s="3">
        <f t="shared" si="10"/>
        <v>204</v>
      </c>
      <c r="H373" s="3">
        <f>VLOOKUP(A373,'[2]CUMP Articles'!$A:$H,8,0)</f>
        <v>2463.91923705722</v>
      </c>
      <c r="I373" s="3">
        <f t="shared" si="11"/>
        <v>502639.52435967291</v>
      </c>
      <c r="J373" s="3" t="str">
        <f>VLOOKUP(A373,'[3]Stock actif'!$A:$K,10,0)</f>
        <v>Non</v>
      </c>
      <c r="K373" s="3" t="str">
        <f>VLOOKUP(A373,'[3]Stock actif'!$A:$K,11,0)</f>
        <v>Générique</v>
      </c>
    </row>
    <row r="374" spans="1:11" x14ac:dyDescent="0.35">
      <c r="A374" s="3">
        <v>4860</v>
      </c>
      <c r="B374" s="3" t="s">
        <v>373</v>
      </c>
      <c r="C374" s="3" t="s">
        <v>4</v>
      </c>
      <c r="D374" s="3" t="s">
        <v>5</v>
      </c>
      <c r="E374" s="3">
        <f>VLOOKUP(A374,[1]fnd_gfm_43298102!$B:$F,5,0)</f>
        <v>33</v>
      </c>
      <c r="F374" s="3">
        <f>VLOOKUP(A374,[4]fnd_gfm_43298103!$B:$F,5,0)</f>
        <v>105</v>
      </c>
      <c r="G374" s="3">
        <f t="shared" si="10"/>
        <v>138</v>
      </c>
      <c r="H374" s="3">
        <f>VLOOKUP(A374,'[2]CUMP Articles'!$A:$H,8,0)</f>
        <v>973.52135187705596</v>
      </c>
      <c r="I374" s="3">
        <f t="shared" si="11"/>
        <v>134345.94655903373</v>
      </c>
      <c r="J374" s="3" t="str">
        <f>VLOOKUP(A374,'[3]Stock actif'!$A:$K,10,0)</f>
        <v>Non</v>
      </c>
      <c r="K374" s="3" t="str">
        <f>VLOOKUP(A374,'[3]Stock actif'!$A:$K,11,0)</f>
        <v>Générique</v>
      </c>
    </row>
    <row r="375" spans="1:11" x14ac:dyDescent="0.35">
      <c r="A375" s="3">
        <v>4861</v>
      </c>
      <c r="B375" s="3" t="s">
        <v>374</v>
      </c>
      <c r="C375" s="3" t="s">
        <v>4</v>
      </c>
      <c r="D375" s="3" t="s">
        <v>5</v>
      </c>
      <c r="E375" s="3">
        <f>VLOOKUP(A375,[1]fnd_gfm_43298102!$B:$F,5,0)</f>
        <v>72</v>
      </c>
      <c r="F375" s="3">
        <f>VLOOKUP(A375,[4]fnd_gfm_43298103!$B:$F,5,0)</f>
        <v>370</v>
      </c>
      <c r="G375" s="3">
        <f t="shared" si="10"/>
        <v>442</v>
      </c>
      <c r="H375" s="3">
        <f>VLOOKUP(A375,'[2]CUMP Articles'!$A:$H,8,0)</f>
        <v>819.02971996517101</v>
      </c>
      <c r="I375" s="3">
        <f t="shared" si="11"/>
        <v>362011.13622460561</v>
      </c>
      <c r="J375" s="3" t="str">
        <f>VLOOKUP(A375,'[3]Stock actif'!$A:$K,10,0)</f>
        <v>Non</v>
      </c>
      <c r="K375" s="3" t="str">
        <f>VLOOKUP(A375,'[3]Stock actif'!$A:$K,11,0)</f>
        <v>Générique</v>
      </c>
    </row>
    <row r="376" spans="1:11" x14ac:dyDescent="0.35">
      <c r="A376" s="3">
        <v>4862</v>
      </c>
      <c r="B376" s="3" t="s">
        <v>375</v>
      </c>
      <c r="C376" s="3" t="s">
        <v>4</v>
      </c>
      <c r="D376" s="3" t="s">
        <v>5</v>
      </c>
      <c r="E376" s="3">
        <f>VLOOKUP(A376,[1]fnd_gfm_43298102!$B:$F,5,0)</f>
        <v>42</v>
      </c>
      <c r="F376" s="3">
        <f>VLOOKUP(A376,[4]fnd_gfm_43298103!$B:$F,5,0)</f>
        <v>80</v>
      </c>
      <c r="G376" s="3">
        <f t="shared" si="10"/>
        <v>122</v>
      </c>
      <c r="H376" s="3">
        <f>VLOOKUP(A376,'[2]CUMP Articles'!$A:$H,8,0)</f>
        <v>950</v>
      </c>
      <c r="I376" s="3">
        <f t="shared" si="11"/>
        <v>115900</v>
      </c>
      <c r="J376" s="3" t="str">
        <f>VLOOKUP(A376,'[3]Stock actif'!$A:$K,10,0)</f>
        <v>Non</v>
      </c>
      <c r="K376" s="3" t="str">
        <f>VLOOKUP(A376,'[3]Stock actif'!$A:$K,11,0)</f>
        <v>Générique</v>
      </c>
    </row>
    <row r="377" spans="1:11" x14ac:dyDescent="0.35">
      <c r="A377" s="3">
        <v>4863</v>
      </c>
      <c r="B377" s="3" t="s">
        <v>376</v>
      </c>
      <c r="C377" s="3" t="s">
        <v>4</v>
      </c>
      <c r="D377" s="3" t="s">
        <v>5</v>
      </c>
      <c r="E377" s="3">
        <f>VLOOKUP(A377,[1]fnd_gfm_43298102!$B:$F,5,0)</f>
        <v>33</v>
      </c>
      <c r="F377" s="3">
        <f>VLOOKUP(A377,[4]fnd_gfm_43298103!$B:$F,5,0)</f>
        <v>65</v>
      </c>
      <c r="G377" s="3">
        <f t="shared" si="10"/>
        <v>98</v>
      </c>
      <c r="H377" s="3">
        <f>VLOOKUP(A377,'[2]CUMP Articles'!$A:$H,8,0)</f>
        <v>671.43737166324399</v>
      </c>
      <c r="I377" s="3">
        <f t="shared" si="11"/>
        <v>65800.862422997918</v>
      </c>
      <c r="J377" s="3" t="str">
        <f>VLOOKUP(A377,'[3]Stock actif'!$A:$K,10,0)</f>
        <v>Non</v>
      </c>
      <c r="K377" s="3" t="str">
        <f>VLOOKUP(A377,'[3]Stock actif'!$A:$K,11,0)</f>
        <v>Générique</v>
      </c>
    </row>
    <row r="378" spans="1:11" x14ac:dyDescent="0.35">
      <c r="A378" s="3">
        <v>4869</v>
      </c>
      <c r="B378" s="3" t="s">
        <v>377</v>
      </c>
      <c r="C378" s="3" t="s">
        <v>4</v>
      </c>
      <c r="D378" s="3" t="s">
        <v>5</v>
      </c>
      <c r="E378" s="3"/>
      <c r="F378" s="3">
        <f>VLOOKUP(A378,[4]fnd_gfm_43298103!$B:$F,5,0)</f>
        <v>3</v>
      </c>
      <c r="G378" s="3">
        <f t="shared" si="10"/>
        <v>3</v>
      </c>
      <c r="H378" s="3">
        <f>VLOOKUP(A378,'[2]CUMP Articles'!$A:$H,8,0)</f>
        <v>260196</v>
      </c>
      <c r="I378" s="3">
        <f t="shared" si="11"/>
        <v>780588</v>
      </c>
      <c r="J378" s="3" t="str">
        <f>VLOOKUP(A378,'[3]Stock actif'!$A:$K,10,0)</f>
        <v>Oui</v>
      </c>
      <c r="K378" s="3" t="str">
        <f>VLOOKUP(A378,'[3]Stock actif'!$A:$K,11,0)</f>
        <v>Alcatel-Lucent</v>
      </c>
    </row>
    <row r="379" spans="1:11" x14ac:dyDescent="0.35">
      <c r="A379" s="3">
        <v>4881</v>
      </c>
      <c r="B379" s="3" t="s">
        <v>378</v>
      </c>
      <c r="C379" s="3" t="s">
        <v>4</v>
      </c>
      <c r="D379" s="3" t="s">
        <v>5</v>
      </c>
      <c r="E379" s="3">
        <f>VLOOKUP(A379,[1]fnd_gfm_43298102!$B:$F,5,0)</f>
        <v>1</v>
      </c>
      <c r="F379" s="3"/>
      <c r="G379" s="3">
        <f t="shared" si="10"/>
        <v>1</v>
      </c>
      <c r="H379" s="3">
        <f>VLOOKUP(A379,'[2]CUMP Articles'!$A:$H,8,0)</f>
        <v>266040.47624181799</v>
      </c>
      <c r="I379" s="3">
        <f t="shared" si="11"/>
        <v>266040.47624181799</v>
      </c>
      <c r="J379" s="3" t="str">
        <f>VLOOKUP(A379,'[3]Stock actif'!$A:$K,10,0)</f>
        <v>Oui</v>
      </c>
      <c r="K379" s="3" t="str">
        <f>VLOOKUP(A379,'[3]Stock actif'!$A:$K,11,0)</f>
        <v>Fortinet</v>
      </c>
    </row>
    <row r="380" spans="1:11" x14ac:dyDescent="0.35">
      <c r="A380" s="3">
        <v>4883</v>
      </c>
      <c r="B380" s="3" t="s">
        <v>379</v>
      </c>
      <c r="C380" s="3" t="s">
        <v>4</v>
      </c>
      <c r="D380" s="3" t="s">
        <v>5</v>
      </c>
      <c r="E380" s="3"/>
      <c r="F380" s="3">
        <f>VLOOKUP(A380,[4]fnd_gfm_43298103!$B:$F,5,0)</f>
        <v>5</v>
      </c>
      <c r="G380" s="3">
        <f t="shared" si="10"/>
        <v>5</v>
      </c>
      <c r="H380" s="3">
        <f>VLOOKUP(A380,'[2]CUMP Articles'!$A:$H,8,0)</f>
        <v>327933</v>
      </c>
      <c r="I380" s="3">
        <f t="shared" si="11"/>
        <v>1639665</v>
      </c>
      <c r="J380" s="3" t="str">
        <f>VLOOKUP(A380,'[3]Stock actif'!$A:$K,10,0)</f>
        <v>Oui</v>
      </c>
      <c r="K380" s="3" t="str">
        <f>VLOOKUP(A380,'[3]Stock actif'!$A:$K,11,0)</f>
        <v>Cisco</v>
      </c>
    </row>
    <row r="381" spans="1:11" x14ac:dyDescent="0.35">
      <c r="A381" s="3">
        <v>4888</v>
      </c>
      <c r="B381" s="3" t="s">
        <v>380</v>
      </c>
      <c r="C381" s="3" t="s">
        <v>4</v>
      </c>
      <c r="D381" s="3" t="s">
        <v>5</v>
      </c>
      <c r="E381" s="3"/>
      <c r="F381" s="3">
        <f>VLOOKUP(A381,[4]fnd_gfm_43298103!$B:$F,5,0)</f>
        <v>157</v>
      </c>
      <c r="G381" s="3">
        <f t="shared" si="10"/>
        <v>157</v>
      </c>
      <c r="H381" s="3">
        <f>VLOOKUP(A381,'[2]CUMP Articles'!$A:$H,8,0)</f>
        <v>132376.820359281</v>
      </c>
      <c r="I381" s="3">
        <f t="shared" si="11"/>
        <v>20783160.796407118</v>
      </c>
      <c r="J381" s="3" t="str">
        <f>VLOOKUP(A381,'[3]Stock actif'!$A:$K,10,0)</f>
        <v>Oui</v>
      </c>
      <c r="K381" s="3" t="str">
        <f>VLOOKUP(A381,'[3]Stock actif'!$A:$K,11,0)</f>
        <v>Cisco</v>
      </c>
    </row>
    <row r="382" spans="1:11" x14ac:dyDescent="0.35">
      <c r="A382" s="3">
        <v>4921</v>
      </c>
      <c r="B382" s="3" t="s">
        <v>381</v>
      </c>
      <c r="C382" s="3" t="s">
        <v>4</v>
      </c>
      <c r="D382" s="3" t="s">
        <v>120</v>
      </c>
      <c r="E382" s="3">
        <f>VLOOKUP(A382,[1]fnd_gfm_43298102!$B:$F,5,0)</f>
        <v>11</v>
      </c>
      <c r="F382" s="3">
        <f>VLOOKUP(A382,[4]fnd_gfm_43298103!$B:$F,5,0)</f>
        <v>8</v>
      </c>
      <c r="G382" s="3">
        <f t="shared" si="10"/>
        <v>19</v>
      </c>
      <c r="H382" s="3">
        <f>VLOOKUP(A382,'[2]CUMP Articles'!$A:$H,8,0)</f>
        <v>32601</v>
      </c>
      <c r="I382" s="3">
        <f t="shared" si="11"/>
        <v>619419</v>
      </c>
      <c r="J382" s="3" t="str">
        <f>VLOOKUP(A382,'[3]Stock actif'!$A:$K,10,0)</f>
        <v>Oui</v>
      </c>
      <c r="K382" s="3" t="str">
        <f>VLOOKUP(A382,'[3]Stock actif'!$A:$K,11,0)</f>
        <v>Alcatel-Lucent</v>
      </c>
    </row>
    <row r="383" spans="1:11" x14ac:dyDescent="0.35">
      <c r="A383" s="3">
        <v>4928</v>
      </c>
      <c r="B383" s="3" t="s">
        <v>382</v>
      </c>
      <c r="C383" s="3" t="s">
        <v>4</v>
      </c>
      <c r="D383" s="3" t="s">
        <v>5</v>
      </c>
      <c r="E383" s="3">
        <f>VLOOKUP(A383,[1]fnd_gfm_43298102!$B:$F,5,0)</f>
        <v>3</v>
      </c>
      <c r="F383" s="3"/>
      <c r="G383" s="3">
        <f t="shared" si="10"/>
        <v>3</v>
      </c>
      <c r="H383" s="3">
        <f>VLOOKUP(A383,'[2]CUMP Articles'!$A:$H,8,0)</f>
        <v>172476.17600000001</v>
      </c>
      <c r="I383" s="3">
        <f t="shared" si="11"/>
        <v>517428.52800000005</v>
      </c>
      <c r="J383" s="3" t="str">
        <f>VLOOKUP(A383,'[3]Stock actif'!$A:$K,10,0)</f>
        <v>Oui</v>
      </c>
      <c r="K383" s="3" t="str">
        <f>VLOOKUP(A383,'[3]Stock actif'!$A:$K,11,0)</f>
        <v>Fortinet</v>
      </c>
    </row>
    <row r="384" spans="1:11" x14ac:dyDescent="0.35">
      <c r="A384" s="3">
        <v>4929</v>
      </c>
      <c r="B384" s="3" t="s">
        <v>383</v>
      </c>
      <c r="C384" s="3" t="s">
        <v>4</v>
      </c>
      <c r="D384" s="3" t="s">
        <v>5</v>
      </c>
      <c r="E384" s="3"/>
      <c r="F384" s="3">
        <f>VLOOKUP(A384,[4]fnd_gfm_43298103!$B:$F,5,0)</f>
        <v>1</v>
      </c>
      <c r="G384" s="3">
        <f t="shared" si="10"/>
        <v>1</v>
      </c>
      <c r="H384" s="3">
        <f>VLOOKUP(A384,'[2]CUMP Articles'!$A:$H,8,0)</f>
        <v>20249</v>
      </c>
      <c r="I384" s="3">
        <f t="shared" si="11"/>
        <v>20249</v>
      </c>
      <c r="J384" s="3" t="str">
        <f>VLOOKUP(A384,'[3]Stock actif'!$A:$K,10,0)</f>
        <v>Non</v>
      </c>
      <c r="K384" s="3" t="str">
        <f>VLOOKUP(A384,'[3]Stock actif'!$A:$K,11,0)</f>
        <v>Générique</v>
      </c>
    </row>
    <row r="385" spans="1:11" x14ac:dyDescent="0.35">
      <c r="A385" s="3">
        <v>4930</v>
      </c>
      <c r="B385" s="3" t="s">
        <v>384</v>
      </c>
      <c r="C385" s="3" t="s">
        <v>4</v>
      </c>
      <c r="D385" s="3" t="s">
        <v>5</v>
      </c>
      <c r="E385" s="3"/>
      <c r="F385" s="3">
        <f>VLOOKUP(A385,[4]fnd_gfm_43298103!$B:$F,5,0)</f>
        <v>50</v>
      </c>
      <c r="G385" s="3">
        <f t="shared" si="10"/>
        <v>50</v>
      </c>
      <c r="H385" s="3">
        <f>VLOOKUP(A385,'[2]CUMP Articles'!$A:$H,8,0)</f>
        <v>977</v>
      </c>
      <c r="I385" s="3">
        <f t="shared" si="11"/>
        <v>48850</v>
      </c>
      <c r="J385" s="3" t="str">
        <f>VLOOKUP(A385,'[3]Stock actif'!$A:$K,10,0)</f>
        <v>Non</v>
      </c>
      <c r="K385" s="3" t="str">
        <f>VLOOKUP(A385,'[3]Stock actif'!$A:$K,11,0)</f>
        <v>Générique</v>
      </c>
    </row>
    <row r="386" spans="1:11" x14ac:dyDescent="0.35">
      <c r="A386" s="3">
        <v>4948</v>
      </c>
      <c r="B386" s="3" t="s">
        <v>385</v>
      </c>
      <c r="C386" s="3" t="s">
        <v>4</v>
      </c>
      <c r="D386" s="3" t="s">
        <v>5</v>
      </c>
      <c r="E386" s="3">
        <f>VLOOKUP(A386,[1]fnd_gfm_43298102!$B:$F,5,0)</f>
        <v>3</v>
      </c>
      <c r="F386" s="3"/>
      <c r="G386" s="3">
        <f t="shared" si="10"/>
        <v>3</v>
      </c>
      <c r="H386" s="3">
        <f>VLOOKUP(A386,'[2]CUMP Articles'!$A:$H,8,0)</f>
        <v>77427</v>
      </c>
      <c r="I386" s="3">
        <f t="shared" si="11"/>
        <v>232281</v>
      </c>
      <c r="J386" s="3" t="str">
        <f>VLOOKUP(A386,'[3]Stock actif'!$A:$K,10,0)</f>
        <v>Oui</v>
      </c>
      <c r="K386" s="3" t="str">
        <f>VLOOKUP(A386,'[3]Stock actif'!$A:$K,11,0)</f>
        <v>Alcatel-Lucent</v>
      </c>
    </row>
    <row r="387" spans="1:11" x14ac:dyDescent="0.35">
      <c r="A387" s="3">
        <v>4954</v>
      </c>
      <c r="B387" s="3" t="s">
        <v>386</v>
      </c>
      <c r="C387" s="3" t="s">
        <v>4</v>
      </c>
      <c r="D387" s="3" t="s">
        <v>5</v>
      </c>
      <c r="E387" s="3">
        <f>VLOOKUP(A387,[1]fnd_gfm_43298102!$B:$F,5,0)</f>
        <v>5</v>
      </c>
      <c r="F387" s="3"/>
      <c r="G387" s="3">
        <f t="shared" ref="G387:G450" si="12">SUM(E387:F387)</f>
        <v>5</v>
      </c>
      <c r="H387" s="3">
        <f>VLOOKUP(A387,'[2]CUMP Articles'!$A:$H,8,0)</f>
        <v>5563</v>
      </c>
      <c r="I387" s="3">
        <f t="shared" ref="I387:I450" si="13">H387*G387</f>
        <v>27815</v>
      </c>
      <c r="J387" s="3" t="str">
        <f>VLOOKUP(A387,'[3]Stock actif'!$A:$K,10,0)</f>
        <v>Oui</v>
      </c>
      <c r="K387" s="3" t="str">
        <f>VLOOKUP(A387,'[3]Stock actif'!$A:$K,11,0)</f>
        <v>Nexans</v>
      </c>
    </row>
    <row r="388" spans="1:11" x14ac:dyDescent="0.35">
      <c r="A388" s="3">
        <v>4958</v>
      </c>
      <c r="B388" s="3" t="s">
        <v>387</v>
      </c>
      <c r="C388" s="3" t="s">
        <v>4</v>
      </c>
      <c r="D388" s="3" t="s">
        <v>5</v>
      </c>
      <c r="E388" s="3">
        <f>VLOOKUP(A388,[1]fnd_gfm_43298102!$B:$F,5,0)</f>
        <v>1</v>
      </c>
      <c r="F388" s="3">
        <f>VLOOKUP(A388,[4]fnd_gfm_43298103!$B:$F,5,0)</f>
        <v>15</v>
      </c>
      <c r="G388" s="3">
        <f t="shared" si="12"/>
        <v>16</v>
      </c>
      <c r="H388" s="3">
        <f>VLOOKUP(A388,'[2]CUMP Articles'!$A:$H,8,0)</f>
        <v>38924.488380000003</v>
      </c>
      <c r="I388" s="3">
        <f t="shared" si="13"/>
        <v>622791.81408000004</v>
      </c>
      <c r="J388" s="3" t="str">
        <f>VLOOKUP(A388,'[3]Stock actif'!$A:$K,10,0)</f>
        <v>Oui</v>
      </c>
      <c r="K388" s="3" t="str">
        <f>VLOOKUP(A388,'[3]Stock actif'!$A:$K,11,0)</f>
        <v>Alcatel-Lucent</v>
      </c>
    </row>
    <row r="389" spans="1:11" x14ac:dyDescent="0.35">
      <c r="A389" s="3">
        <v>4959</v>
      </c>
      <c r="B389" s="3" t="s">
        <v>388</v>
      </c>
      <c r="C389" s="3" t="s">
        <v>4</v>
      </c>
      <c r="D389" s="3" t="s">
        <v>5</v>
      </c>
      <c r="E389" s="3"/>
      <c r="F389" s="3">
        <f>VLOOKUP(A389,[4]fnd_gfm_43298103!$B:$F,5,0)</f>
        <v>2</v>
      </c>
      <c r="G389" s="3">
        <f t="shared" si="12"/>
        <v>2</v>
      </c>
      <c r="H389" s="3">
        <f>VLOOKUP(A389,'[2]CUMP Articles'!$A:$H,8,0)</f>
        <v>260841.30105000001</v>
      </c>
      <c r="I389" s="3">
        <f t="shared" si="13"/>
        <v>521682.60210000002</v>
      </c>
      <c r="J389" s="3" t="str">
        <f>VLOOKUP(A389,'[3]Stock actif'!$A:$K,10,0)</f>
        <v>Oui</v>
      </c>
      <c r="K389" s="3" t="str">
        <f>VLOOKUP(A389,'[3]Stock actif'!$A:$K,11,0)</f>
        <v>Nexans</v>
      </c>
    </row>
    <row r="390" spans="1:11" x14ac:dyDescent="0.35">
      <c r="A390" s="3">
        <v>4960</v>
      </c>
      <c r="B390" s="3" t="s">
        <v>389</v>
      </c>
      <c r="C390" s="3" t="s">
        <v>4</v>
      </c>
      <c r="D390" s="3" t="s">
        <v>5</v>
      </c>
      <c r="E390" s="3">
        <f>VLOOKUP(A390,[1]fnd_gfm_43298102!$B:$F,5,0)</f>
        <v>438</v>
      </c>
      <c r="F390" s="3">
        <f>VLOOKUP(A390,[4]fnd_gfm_43298103!$B:$F,5,0)</f>
        <v>3955</v>
      </c>
      <c r="G390" s="3">
        <f t="shared" si="12"/>
        <v>4393</v>
      </c>
      <c r="H390" s="3">
        <f>VLOOKUP(A390,'[2]CUMP Articles'!$A:$H,8,0)</f>
        <v>3567.2945730854599</v>
      </c>
      <c r="I390" s="3">
        <f t="shared" si="13"/>
        <v>15671125.059564425</v>
      </c>
      <c r="J390" s="3" t="str">
        <f>VLOOKUP(A390,'[3]Stock actif'!$A:$K,10,0)</f>
        <v>Non</v>
      </c>
      <c r="K390" s="3" t="str">
        <f>VLOOKUP(A390,'[3]Stock actif'!$A:$K,11,0)</f>
        <v>Nexans</v>
      </c>
    </row>
    <row r="391" spans="1:11" x14ac:dyDescent="0.35">
      <c r="A391" s="3">
        <v>4961</v>
      </c>
      <c r="B391" s="3" t="s">
        <v>390</v>
      </c>
      <c r="C391" s="3" t="s">
        <v>4</v>
      </c>
      <c r="D391" s="3" t="s">
        <v>5</v>
      </c>
      <c r="E391" s="3">
        <f>VLOOKUP(A391,[1]fnd_gfm_43298102!$B:$F,5,0)</f>
        <v>260</v>
      </c>
      <c r="F391" s="3">
        <f>VLOOKUP(A391,[4]fnd_gfm_43298103!$B:$F,5,0)</f>
        <v>3904</v>
      </c>
      <c r="G391" s="3">
        <f t="shared" si="12"/>
        <v>4164</v>
      </c>
      <c r="H391" s="3">
        <f>VLOOKUP(A391,'[2]CUMP Articles'!$A:$H,8,0)</f>
        <v>3968.7480903174601</v>
      </c>
      <c r="I391" s="3">
        <f t="shared" si="13"/>
        <v>16525867.048081905</v>
      </c>
      <c r="J391" s="3" t="str">
        <f>VLOOKUP(A391,'[3]Stock actif'!$A:$K,10,0)</f>
        <v>oui</v>
      </c>
      <c r="K391" s="3" t="str">
        <f>VLOOKUP(A391,'[3]Stock actif'!$A:$K,11,0)</f>
        <v>Nexans</v>
      </c>
    </row>
    <row r="392" spans="1:11" x14ac:dyDescent="0.35">
      <c r="A392" s="3">
        <v>4962</v>
      </c>
      <c r="B392" s="3" t="s">
        <v>391</v>
      </c>
      <c r="C392" s="3" t="s">
        <v>4</v>
      </c>
      <c r="D392" s="3" t="s">
        <v>5</v>
      </c>
      <c r="E392" s="3">
        <f>VLOOKUP(A392,[1]fnd_gfm_43298102!$B:$F,5,0)</f>
        <v>167</v>
      </c>
      <c r="F392" s="3">
        <f>VLOOKUP(A392,[4]fnd_gfm_43298103!$B:$F,5,0)</f>
        <v>2642</v>
      </c>
      <c r="G392" s="3">
        <f t="shared" si="12"/>
        <v>2809</v>
      </c>
      <c r="H392" s="3">
        <f>VLOOKUP(A392,'[2]CUMP Articles'!$A:$H,8,0)</f>
        <v>5562.6715402380996</v>
      </c>
      <c r="I392" s="3">
        <f t="shared" si="13"/>
        <v>15625544.356528822</v>
      </c>
      <c r="J392" s="3" t="str">
        <f>VLOOKUP(A392,'[3]Stock actif'!$A:$K,10,0)</f>
        <v>Oui</v>
      </c>
      <c r="K392" s="3" t="str">
        <f>VLOOKUP(A392,'[3]Stock actif'!$A:$K,11,0)</f>
        <v>Nexans</v>
      </c>
    </row>
    <row r="393" spans="1:11" x14ac:dyDescent="0.35">
      <c r="A393" s="3">
        <v>5861</v>
      </c>
      <c r="B393" s="3" t="s">
        <v>392</v>
      </c>
      <c r="C393" s="3" t="s">
        <v>4</v>
      </c>
      <c r="D393" s="3" t="s">
        <v>5</v>
      </c>
      <c r="E393" s="3"/>
      <c r="F393" s="3">
        <f>VLOOKUP(A393,[4]fnd_gfm_43298103!$B:$F,5,0)</f>
        <v>100</v>
      </c>
      <c r="G393" s="3">
        <f t="shared" si="12"/>
        <v>100</v>
      </c>
      <c r="H393" s="3">
        <f>VLOOKUP(A393,'[2]CUMP Articles'!$A:$H,8,0)</f>
        <v>950</v>
      </c>
      <c r="I393" s="3">
        <f t="shared" si="13"/>
        <v>95000</v>
      </c>
      <c r="J393" s="3" t="str">
        <f>VLOOKUP(A393,'[3]Stock actif'!$A:$K,10,0)</f>
        <v>Non</v>
      </c>
      <c r="K393" s="3" t="str">
        <f>VLOOKUP(A393,'[3]Stock actif'!$A:$K,11,0)</f>
        <v>Générique</v>
      </c>
    </row>
    <row r="394" spans="1:11" x14ac:dyDescent="0.35">
      <c r="A394" s="3">
        <v>5862</v>
      </c>
      <c r="B394" s="3" t="s">
        <v>375</v>
      </c>
      <c r="C394" s="3" t="s">
        <v>4</v>
      </c>
      <c r="D394" s="3" t="s">
        <v>5</v>
      </c>
      <c r="E394" s="3"/>
      <c r="F394" s="3">
        <f>VLOOKUP(A394,[4]fnd_gfm_43298103!$B:$F,5,0)</f>
        <v>100</v>
      </c>
      <c r="G394" s="3">
        <f t="shared" si="12"/>
        <v>100</v>
      </c>
      <c r="H394" s="3">
        <f>VLOOKUP(A394,'[2]CUMP Articles'!$A:$H,8,0)</f>
        <v>950</v>
      </c>
      <c r="I394" s="3">
        <f t="shared" si="13"/>
        <v>95000</v>
      </c>
      <c r="J394" s="3" t="str">
        <f>VLOOKUP(A394,'[3]Stock actif'!$A:$K,10,0)</f>
        <v>Non</v>
      </c>
      <c r="K394" s="3" t="str">
        <f>VLOOKUP(A394,'[3]Stock actif'!$A:$K,11,0)</f>
        <v>Générique</v>
      </c>
    </row>
    <row r="395" spans="1:11" x14ac:dyDescent="0.35">
      <c r="A395" s="3">
        <v>30013</v>
      </c>
      <c r="B395" s="3" t="s">
        <v>393</v>
      </c>
      <c r="C395" s="3" t="s">
        <v>4</v>
      </c>
      <c r="D395" s="3" t="s">
        <v>5</v>
      </c>
      <c r="E395" s="3">
        <f>VLOOKUP(A395,[1]fnd_gfm_43298102!$B:$F,5,0)</f>
        <v>22</v>
      </c>
      <c r="F395" s="3">
        <f>VLOOKUP(A395,[4]fnd_gfm_43298103!$B:$F,5,0)</f>
        <v>7</v>
      </c>
      <c r="G395" s="3">
        <f t="shared" si="12"/>
        <v>29</v>
      </c>
      <c r="H395" s="3">
        <f>VLOOKUP(A395,'[2]CUMP Articles'!$A:$H,8,0)</f>
        <v>15198.52369</v>
      </c>
      <c r="I395" s="3">
        <f t="shared" si="13"/>
        <v>440757.18700999999</v>
      </c>
      <c r="J395" s="3" t="str">
        <f>VLOOKUP(A395,'[3]Stock actif'!$A:$K,10,0)</f>
        <v>oui</v>
      </c>
      <c r="K395" s="3" t="str">
        <f>VLOOKUP(A395,'[3]Stock actif'!$A:$K,11,0)</f>
        <v>Grandstream</v>
      </c>
    </row>
    <row r="396" spans="1:11" x14ac:dyDescent="0.35">
      <c r="A396" s="3">
        <v>30019</v>
      </c>
      <c r="B396" s="3" t="s">
        <v>394</v>
      </c>
      <c r="C396" s="3" t="s">
        <v>4</v>
      </c>
      <c r="D396" s="3" t="s">
        <v>5</v>
      </c>
      <c r="E396" s="3">
        <f>VLOOKUP(A396,[1]fnd_gfm_43298102!$B:$F,5,0)</f>
        <v>6</v>
      </c>
      <c r="F396" s="3"/>
      <c r="G396" s="3">
        <f t="shared" si="12"/>
        <v>6</v>
      </c>
      <c r="H396" s="3">
        <f>VLOOKUP(A396,'[2]CUMP Articles'!$A:$H,8,0)</f>
        <v>1956296.0768762</v>
      </c>
      <c r="I396" s="3">
        <f t="shared" si="13"/>
        <v>11737776.461257201</v>
      </c>
      <c r="J396" s="3" t="str">
        <f>VLOOKUP(A396,'[3]Stock actif'!$A:$K,10,0)</f>
        <v>Oui</v>
      </c>
      <c r="K396" s="3" t="str">
        <f>VLOOKUP(A396,'[3]Stock actif'!$A:$K,11,0)</f>
        <v>Fortinet</v>
      </c>
    </row>
    <row r="397" spans="1:11" x14ac:dyDescent="0.35">
      <c r="A397" s="3">
        <v>30041</v>
      </c>
      <c r="B397" s="3" t="s">
        <v>395</v>
      </c>
      <c r="C397" s="3" t="s">
        <v>4</v>
      </c>
      <c r="D397" s="3" t="s">
        <v>5</v>
      </c>
      <c r="E397" s="3"/>
      <c r="F397" s="3">
        <f>VLOOKUP(A397,[4]fnd_gfm_43298103!$B:$F,5,0)</f>
        <v>12</v>
      </c>
      <c r="G397" s="3">
        <f t="shared" si="12"/>
        <v>12</v>
      </c>
      <c r="H397" s="3">
        <f>VLOOKUP(A397,'[2]CUMP Articles'!$A:$H,8,0)</f>
        <v>42264.736363636301</v>
      </c>
      <c r="I397" s="3">
        <f t="shared" si="13"/>
        <v>507176.83636363561</v>
      </c>
      <c r="J397" s="3" t="str">
        <f>VLOOKUP(A397,'[3]Stock actif'!$A:$K,10,0)</f>
        <v>Non</v>
      </c>
      <c r="K397" s="3" t="str">
        <f>VLOOKUP(A397,'[3]Stock actif'!$A:$K,11,0)</f>
        <v>Legrand</v>
      </c>
    </row>
    <row r="398" spans="1:11" x14ac:dyDescent="0.35">
      <c r="A398" s="3">
        <v>30042</v>
      </c>
      <c r="B398" s="3" t="s">
        <v>396</v>
      </c>
      <c r="C398" s="3" t="s">
        <v>4</v>
      </c>
      <c r="D398" s="3" t="s">
        <v>5</v>
      </c>
      <c r="E398" s="3"/>
      <c r="F398" s="3">
        <f>VLOOKUP(A398,[4]fnd_gfm_43298103!$B:$F,5,0)</f>
        <v>12</v>
      </c>
      <c r="G398" s="3">
        <f t="shared" si="12"/>
        <v>12</v>
      </c>
      <c r="H398" s="3">
        <f>VLOOKUP(A398,'[2]CUMP Articles'!$A:$H,8,0)</f>
        <v>598318.69999999995</v>
      </c>
      <c r="I398" s="3">
        <f t="shared" si="13"/>
        <v>7179824.3999999994</v>
      </c>
      <c r="J398" s="3" t="str">
        <f>VLOOKUP(A398,'[3]Stock actif'!$A:$K,10,0)</f>
        <v>non</v>
      </c>
      <c r="K398" s="3" t="str">
        <f>VLOOKUP(A398,'[3]Stock actif'!$A:$K,11,0)</f>
        <v>Générique</v>
      </c>
    </row>
    <row r="399" spans="1:11" x14ac:dyDescent="0.35">
      <c r="A399" s="3">
        <v>30059</v>
      </c>
      <c r="B399" s="3" t="s">
        <v>397</v>
      </c>
      <c r="C399" s="3" t="s">
        <v>4</v>
      </c>
      <c r="D399" s="3" t="s">
        <v>5</v>
      </c>
      <c r="E399" s="3">
        <f>VLOOKUP(A399,[1]fnd_gfm_43298102!$B:$F,5,0)</f>
        <v>61</v>
      </c>
      <c r="F399" s="3"/>
      <c r="G399" s="3">
        <f t="shared" si="12"/>
        <v>61</v>
      </c>
      <c r="H399" s="3">
        <f>VLOOKUP(A399,'[2]CUMP Articles'!$A:$H,8,0)</f>
        <v>2682.7613168724201</v>
      </c>
      <c r="I399" s="3">
        <f t="shared" si="13"/>
        <v>163648.44032921764</v>
      </c>
      <c r="J399" s="3" t="str">
        <f>VLOOKUP(A399,'[3]Stock actif'!$A:$K,10,0)</f>
        <v>Non</v>
      </c>
      <c r="K399" s="3" t="str">
        <f>VLOOKUP(A399,'[3]Stock actif'!$A:$K,11,0)</f>
        <v>Générique</v>
      </c>
    </row>
    <row r="400" spans="1:11" x14ac:dyDescent="0.35">
      <c r="A400" s="3">
        <v>30061</v>
      </c>
      <c r="B400" s="3" t="s">
        <v>398</v>
      </c>
      <c r="C400" s="3" t="s">
        <v>4</v>
      </c>
      <c r="D400" s="3" t="s">
        <v>5</v>
      </c>
      <c r="E400" s="3"/>
      <c r="F400" s="3">
        <f>VLOOKUP(A400,[4]fnd_gfm_43298103!$B:$F,5,0)</f>
        <v>2</v>
      </c>
      <c r="G400" s="3">
        <f t="shared" si="12"/>
        <v>2</v>
      </c>
      <c r="H400" s="3">
        <f>VLOOKUP(A400,'[2]CUMP Articles'!$A:$H,8,0)</f>
        <v>109357.87</v>
      </c>
      <c r="I400" s="3">
        <f t="shared" si="13"/>
        <v>218715.74</v>
      </c>
      <c r="J400" s="3" t="str">
        <f>VLOOKUP(A400,'[3]Stock actif'!$A:$K,10,0)</f>
        <v>Oui</v>
      </c>
      <c r="K400" s="3" t="str">
        <f>VLOOKUP(A400,'[3]Stock actif'!$A:$K,11,0)</f>
        <v>Cisco</v>
      </c>
    </row>
    <row r="401" spans="1:11" x14ac:dyDescent="0.35">
      <c r="A401" s="3">
        <v>30072</v>
      </c>
      <c r="B401" s="3" t="s">
        <v>399</v>
      </c>
      <c r="C401" s="3" t="s">
        <v>4</v>
      </c>
      <c r="D401" s="3" t="s">
        <v>5</v>
      </c>
      <c r="E401" s="3">
        <f>VLOOKUP(A401,[1]fnd_gfm_43298102!$B:$F,5,0)</f>
        <v>2</v>
      </c>
      <c r="F401" s="3">
        <f>VLOOKUP(A401,[4]fnd_gfm_43298103!$B:$F,5,0)</f>
        <v>11</v>
      </c>
      <c r="G401" s="3">
        <f t="shared" si="12"/>
        <v>13</v>
      </c>
      <c r="H401" s="3">
        <f>VLOOKUP(A401,'[2]CUMP Articles'!$A:$H,8,0)</f>
        <v>614169.41029706004</v>
      </c>
      <c r="I401" s="3">
        <f t="shared" si="13"/>
        <v>7984202.3338617804</v>
      </c>
      <c r="J401" s="3" t="str">
        <f>VLOOKUP(A401,'[3]Stock actif'!$A:$K,10,0)</f>
        <v>Oui</v>
      </c>
      <c r="K401" s="3" t="str">
        <f>VLOOKUP(A401,'[3]Stock actif'!$A:$K,11,0)</f>
        <v>Cisco</v>
      </c>
    </row>
    <row r="402" spans="1:11" x14ac:dyDescent="0.35">
      <c r="A402" s="3">
        <v>30079</v>
      </c>
      <c r="B402" s="3" t="s">
        <v>400</v>
      </c>
      <c r="C402" s="3" t="s">
        <v>4</v>
      </c>
      <c r="D402" s="3" t="s">
        <v>5</v>
      </c>
      <c r="E402" s="3"/>
      <c r="F402" s="3">
        <f>VLOOKUP(A402,[4]fnd_gfm_43298103!$B:$F,5,0)</f>
        <v>9</v>
      </c>
      <c r="G402" s="3">
        <f t="shared" si="12"/>
        <v>9</v>
      </c>
      <c r="H402" s="3">
        <f>VLOOKUP(A402,'[2]CUMP Articles'!$A:$H,8,0)</f>
        <v>10000</v>
      </c>
      <c r="I402" s="3">
        <f t="shared" si="13"/>
        <v>90000</v>
      </c>
      <c r="J402" s="3" t="str">
        <f>VLOOKUP(A402,'[3]Stock actif'!$A:$K,10,0)</f>
        <v>Non</v>
      </c>
      <c r="K402" s="3" t="str">
        <f>VLOOKUP(A402,'[3]Stock actif'!$A:$K,11,0)</f>
        <v>Générique</v>
      </c>
    </row>
    <row r="403" spans="1:11" x14ac:dyDescent="0.35">
      <c r="A403" s="3">
        <v>30080</v>
      </c>
      <c r="B403" s="3" t="s">
        <v>401</v>
      </c>
      <c r="C403" s="3" t="s">
        <v>4</v>
      </c>
      <c r="D403" s="3" t="s">
        <v>5</v>
      </c>
      <c r="E403" s="3"/>
      <c r="F403" s="3">
        <f>VLOOKUP(A403,[4]fnd_gfm_43298103!$B:$F,5,0)</f>
        <v>10</v>
      </c>
      <c r="G403" s="3">
        <f t="shared" si="12"/>
        <v>10</v>
      </c>
      <c r="H403" s="3">
        <f>VLOOKUP(A403,'[2]CUMP Articles'!$A:$H,8,0)</f>
        <v>2500</v>
      </c>
      <c r="I403" s="3">
        <f t="shared" si="13"/>
        <v>25000</v>
      </c>
      <c r="J403" s="3" t="str">
        <f>VLOOKUP(A403,'[3]Stock actif'!$A:$K,10,0)</f>
        <v>Non</v>
      </c>
      <c r="K403" s="3" t="str">
        <f>VLOOKUP(A403,'[3]Stock actif'!$A:$K,11,0)</f>
        <v>Générique</v>
      </c>
    </row>
    <row r="404" spans="1:11" x14ac:dyDescent="0.35">
      <c r="A404" s="3">
        <v>30081</v>
      </c>
      <c r="B404" s="3" t="s">
        <v>402</v>
      </c>
      <c r="C404" s="3" t="s">
        <v>4</v>
      </c>
      <c r="D404" s="3" t="s">
        <v>5</v>
      </c>
      <c r="E404" s="3">
        <f>VLOOKUP(A404,[1]fnd_gfm_43298102!$B:$F,5,0)</f>
        <v>5</v>
      </c>
      <c r="F404" s="3"/>
      <c r="G404" s="3">
        <f t="shared" si="12"/>
        <v>5</v>
      </c>
      <c r="H404" s="3">
        <f>VLOOKUP(A404,'[2]CUMP Articles'!$A:$H,8,0)</f>
        <v>149000.632552336</v>
      </c>
      <c r="I404" s="3">
        <f t="shared" si="13"/>
        <v>745003.16276167997</v>
      </c>
      <c r="J404" s="3" t="str">
        <f>VLOOKUP(A404,'[3]Stock actif'!$A:$K,10,0)</f>
        <v>Oui</v>
      </c>
      <c r="K404" s="3" t="str">
        <f>VLOOKUP(A404,'[3]Stock actif'!$A:$K,11,0)</f>
        <v>Alcatel-Lucent</v>
      </c>
    </row>
    <row r="405" spans="1:11" x14ac:dyDescent="0.35">
      <c r="A405" s="3">
        <v>30085</v>
      </c>
      <c r="B405" s="3" t="s">
        <v>403</v>
      </c>
      <c r="C405" s="3" t="s">
        <v>4</v>
      </c>
      <c r="D405" s="3" t="s">
        <v>5</v>
      </c>
      <c r="E405" s="3">
        <f>VLOOKUP(A405,[1]fnd_gfm_43298102!$B:$F,5,0)</f>
        <v>15</v>
      </c>
      <c r="F405" s="3"/>
      <c r="G405" s="3">
        <f t="shared" si="12"/>
        <v>15</v>
      </c>
      <c r="H405" s="3">
        <f>VLOOKUP(A405,'[2]CUMP Articles'!$A:$H,8,0)</f>
        <v>207050.66899999999</v>
      </c>
      <c r="I405" s="3">
        <f t="shared" si="13"/>
        <v>3105760.0350000001</v>
      </c>
      <c r="J405" s="3" t="str">
        <f>VLOOKUP(A405,'[3]Stock actif'!$A:$K,10,0)</f>
        <v>Oui</v>
      </c>
      <c r="K405" s="3" t="str">
        <f>VLOOKUP(A405,'[3]Stock actif'!$A:$K,11,0)</f>
        <v>Fortinet</v>
      </c>
    </row>
    <row r="406" spans="1:11" x14ac:dyDescent="0.35">
      <c r="A406" s="3">
        <v>30089</v>
      </c>
      <c r="B406" s="3" t="s">
        <v>404</v>
      </c>
      <c r="C406" s="3" t="s">
        <v>4</v>
      </c>
      <c r="D406" s="3" t="s">
        <v>5</v>
      </c>
      <c r="E406" s="3">
        <f>VLOOKUP(A406,[1]fnd_gfm_43298102!$B:$F,5,0)</f>
        <v>2</v>
      </c>
      <c r="F406" s="3"/>
      <c r="G406" s="3">
        <f t="shared" si="12"/>
        <v>2</v>
      </c>
      <c r="H406" s="3">
        <f>VLOOKUP(A406,'[2]CUMP Articles'!$A:$H,8,0)</f>
        <v>1900</v>
      </c>
      <c r="I406" s="3">
        <f t="shared" si="13"/>
        <v>3800</v>
      </c>
      <c r="J406" s="3" t="str">
        <f>VLOOKUP(A406,'[3]Stock actif'!$A:$K,10,0)</f>
        <v>oui</v>
      </c>
      <c r="K406" s="3" t="str">
        <f>VLOOKUP(A406,'[3]Stock actif'!$A:$K,11,0)</f>
        <v>Nexans</v>
      </c>
    </row>
    <row r="407" spans="1:11" x14ac:dyDescent="0.35">
      <c r="A407" s="3">
        <v>30092</v>
      </c>
      <c r="B407" s="3" t="s">
        <v>405</v>
      </c>
      <c r="C407" s="3" t="s">
        <v>4</v>
      </c>
      <c r="D407" s="3" t="s">
        <v>5</v>
      </c>
      <c r="E407" s="3">
        <f>VLOOKUP(A407,[1]fnd_gfm_43298102!$B:$F,5,0)</f>
        <v>7</v>
      </c>
      <c r="F407" s="3">
        <f>VLOOKUP(A407,[4]fnd_gfm_43298103!$B:$F,5,0)</f>
        <v>11</v>
      </c>
      <c r="G407" s="3">
        <f t="shared" si="12"/>
        <v>18</v>
      </c>
      <c r="H407" s="3">
        <f>VLOOKUP(A407,'[2]CUMP Articles'!$A:$H,8,0)</f>
        <v>35812.214</v>
      </c>
      <c r="I407" s="3">
        <f t="shared" si="13"/>
        <v>644619.85199999996</v>
      </c>
      <c r="J407" s="3" t="str">
        <f>VLOOKUP(A407,'[3]Stock actif'!$A:$K,10,0)</f>
        <v>Oui</v>
      </c>
      <c r="K407" s="3" t="str">
        <f>VLOOKUP(A407,'[3]Stock actif'!$A:$K,11,0)</f>
        <v>Nexans</v>
      </c>
    </row>
    <row r="408" spans="1:11" x14ac:dyDescent="0.35">
      <c r="A408" s="3">
        <v>30115</v>
      </c>
      <c r="B408" s="3" t="s">
        <v>406</v>
      </c>
      <c r="C408" s="3" t="s">
        <v>4</v>
      </c>
      <c r="D408" s="3" t="s">
        <v>5</v>
      </c>
      <c r="E408" s="3">
        <f>VLOOKUP(A408,[1]fnd_gfm_43298102!$B:$F,5,0)</f>
        <v>1</v>
      </c>
      <c r="F408" s="3"/>
      <c r="G408" s="3">
        <f t="shared" si="12"/>
        <v>1</v>
      </c>
      <c r="H408" s="3">
        <f>VLOOKUP(A408,'[2]CUMP Articles'!$A:$H,8,0)</f>
        <v>208594</v>
      </c>
      <c r="I408" s="3">
        <f t="shared" si="13"/>
        <v>208594</v>
      </c>
      <c r="J408" s="3" t="str">
        <f>VLOOKUP(A408,'[3]Stock actif'!$A:$K,10,0)</f>
        <v>Oui</v>
      </c>
      <c r="K408" s="3" t="str">
        <f>VLOOKUP(A408,'[3]Stock actif'!$A:$K,11,0)</f>
        <v>Alcatel-Lucent</v>
      </c>
    </row>
    <row r="409" spans="1:11" x14ac:dyDescent="0.35">
      <c r="A409" s="3">
        <v>30170</v>
      </c>
      <c r="B409" s="3" t="s">
        <v>407</v>
      </c>
      <c r="C409" s="3" t="s">
        <v>4</v>
      </c>
      <c r="D409" s="3" t="s">
        <v>5</v>
      </c>
      <c r="E409" s="3"/>
      <c r="F409" s="3">
        <f>VLOOKUP(A409,[4]fnd_gfm_43298103!$B:$F,5,0)</f>
        <v>10</v>
      </c>
      <c r="G409" s="3">
        <f t="shared" si="12"/>
        <v>10</v>
      </c>
      <c r="H409" s="3">
        <f>VLOOKUP(A409,'[2]CUMP Articles'!$A:$H,8,0)</f>
        <v>5048.2450719999997</v>
      </c>
      <c r="I409" s="3">
        <f t="shared" si="13"/>
        <v>50482.450719999993</v>
      </c>
      <c r="J409" s="3" t="str">
        <f>VLOOKUP(A409,'[3]Stock actif'!$A:$K,10,0)</f>
        <v>Oui</v>
      </c>
      <c r="K409" s="3" t="str">
        <f>VLOOKUP(A409,'[3]Stock actif'!$A:$K,11,0)</f>
        <v>Alcatel-Lucent</v>
      </c>
    </row>
    <row r="410" spans="1:11" x14ac:dyDescent="0.35">
      <c r="A410" s="3">
        <v>30171</v>
      </c>
      <c r="B410" s="3" t="s">
        <v>408</v>
      </c>
      <c r="C410" s="3" t="s">
        <v>4</v>
      </c>
      <c r="D410" s="3" t="s">
        <v>5</v>
      </c>
      <c r="E410" s="3"/>
      <c r="F410" s="3">
        <f>VLOOKUP(A410,[4]fnd_gfm_43298103!$B:$F,5,0)</f>
        <v>180</v>
      </c>
      <c r="G410" s="3">
        <f t="shared" si="12"/>
        <v>180</v>
      </c>
      <c r="H410" s="3">
        <f>VLOOKUP(A410,'[2]CUMP Articles'!$A:$H,8,0)</f>
        <v>1466.6666666666599</v>
      </c>
      <c r="I410" s="3">
        <f t="shared" si="13"/>
        <v>263999.99999999878</v>
      </c>
      <c r="J410" s="3" t="str">
        <f>VLOOKUP(A410,'[3]Stock actif'!$A:$K,10,0)</f>
        <v>Non</v>
      </c>
      <c r="K410" s="3" t="str">
        <f>VLOOKUP(A410,'[3]Stock actif'!$A:$K,11,0)</f>
        <v>Générique</v>
      </c>
    </row>
    <row r="411" spans="1:11" x14ac:dyDescent="0.35">
      <c r="A411" s="3">
        <v>30178</v>
      </c>
      <c r="B411" s="3" t="s">
        <v>409</v>
      </c>
      <c r="C411" s="3" t="s">
        <v>4</v>
      </c>
      <c r="D411" s="3" t="s">
        <v>5</v>
      </c>
      <c r="E411" s="3">
        <f>VLOOKUP(A411,[1]fnd_gfm_43298102!$B:$F,5,0)</f>
        <v>5</v>
      </c>
      <c r="F411" s="3">
        <f>VLOOKUP(A411,[4]fnd_gfm_43298103!$B:$F,5,0)</f>
        <v>1</v>
      </c>
      <c r="G411" s="3">
        <f t="shared" si="12"/>
        <v>6</v>
      </c>
      <c r="H411" s="3">
        <f>VLOOKUP(A411,'[2]CUMP Articles'!$A:$H,8,0)</f>
        <v>65400</v>
      </c>
      <c r="I411" s="3">
        <f t="shared" si="13"/>
        <v>392400</v>
      </c>
      <c r="J411" s="3" t="str">
        <f>VLOOKUP(A411,'[3]Stock actif'!$A:$K,10,0)</f>
        <v>Non</v>
      </c>
      <c r="K411" s="3" t="str">
        <f>VLOOKUP(A411,'[3]Stock actif'!$A:$K,11,0)</f>
        <v>Générique</v>
      </c>
    </row>
    <row r="412" spans="1:11" x14ac:dyDescent="0.35">
      <c r="A412" s="3">
        <v>30183</v>
      </c>
      <c r="B412" s="3" t="s">
        <v>410</v>
      </c>
      <c r="C412" s="3" t="s">
        <v>4</v>
      </c>
      <c r="D412" s="3" t="s">
        <v>5</v>
      </c>
      <c r="E412" s="3">
        <f>VLOOKUP(A412,[1]fnd_gfm_43298102!$B:$F,5,0)</f>
        <v>12</v>
      </c>
      <c r="F412" s="3"/>
      <c r="G412" s="3">
        <f t="shared" si="12"/>
        <v>12</v>
      </c>
      <c r="H412" s="3">
        <f>VLOOKUP(A412,'[2]CUMP Articles'!$A:$H,8,0)</f>
        <v>49000</v>
      </c>
      <c r="I412" s="3">
        <f t="shared" si="13"/>
        <v>588000</v>
      </c>
      <c r="J412" s="3" t="str">
        <f>VLOOKUP(A412,'[3]Stock actif'!$A:$K,10,0)</f>
        <v>Non</v>
      </c>
      <c r="K412" s="3" t="str">
        <f>VLOOKUP(A412,'[3]Stock actif'!$A:$K,11,0)</f>
        <v>Générique</v>
      </c>
    </row>
    <row r="413" spans="1:11" x14ac:dyDescent="0.35">
      <c r="A413" s="3">
        <v>30186</v>
      </c>
      <c r="B413" s="3" t="s">
        <v>411</v>
      </c>
      <c r="C413" s="3" t="s">
        <v>4</v>
      </c>
      <c r="D413" s="3" t="s">
        <v>5</v>
      </c>
      <c r="E413" s="3">
        <f>VLOOKUP(A413,[1]fnd_gfm_43298102!$B:$F,5,0)</f>
        <v>234</v>
      </c>
      <c r="F413" s="3"/>
      <c r="G413" s="3">
        <f t="shared" si="12"/>
        <v>234</v>
      </c>
      <c r="H413" s="3">
        <f>VLOOKUP(A413,'[2]CUMP Articles'!$A:$H,8,0)</f>
        <v>2600</v>
      </c>
      <c r="I413" s="3">
        <f t="shared" si="13"/>
        <v>608400</v>
      </c>
      <c r="J413" s="3" t="str">
        <f>VLOOKUP(A413,'[3]Stock actif'!$A:$K,10,0)</f>
        <v>non</v>
      </c>
      <c r="K413" s="3" t="str">
        <f>VLOOKUP(A413,'[3]Stock actif'!$A:$K,11,0)</f>
        <v>Générique</v>
      </c>
    </row>
    <row r="414" spans="1:11" x14ac:dyDescent="0.35">
      <c r="A414" s="3">
        <v>30187</v>
      </c>
      <c r="B414" s="3" t="s">
        <v>412</v>
      </c>
      <c r="C414" s="3" t="s">
        <v>4</v>
      </c>
      <c r="D414" s="3" t="s">
        <v>5</v>
      </c>
      <c r="E414" s="3"/>
      <c r="F414" s="3">
        <f>VLOOKUP(A414,[4]fnd_gfm_43298103!$B:$F,5,0)</f>
        <v>16</v>
      </c>
      <c r="G414" s="3">
        <f t="shared" si="12"/>
        <v>16</v>
      </c>
      <c r="H414" s="3">
        <f>VLOOKUP(A414,'[2]CUMP Articles'!$A:$H,8,0)</f>
        <v>16500</v>
      </c>
      <c r="I414" s="3">
        <f t="shared" si="13"/>
        <v>264000</v>
      </c>
      <c r="J414" s="3" t="str">
        <f>VLOOKUP(A414,'[3]Stock actif'!$A:$K,10,0)</f>
        <v>Oui</v>
      </c>
      <c r="K414" s="3" t="str">
        <f>VLOOKUP(A414,'[3]Stock actif'!$A:$K,11,0)</f>
        <v>Générique</v>
      </c>
    </row>
    <row r="415" spans="1:11" x14ac:dyDescent="0.35">
      <c r="A415" s="3">
        <v>30189</v>
      </c>
      <c r="B415" s="3" t="s">
        <v>413</v>
      </c>
      <c r="C415" s="3" t="s">
        <v>4</v>
      </c>
      <c r="D415" s="3" t="s">
        <v>5</v>
      </c>
      <c r="E415" s="3"/>
      <c r="F415" s="3">
        <f>VLOOKUP(A415,[4]fnd_gfm_43298103!$B:$F,5,0)</f>
        <v>10</v>
      </c>
      <c r="G415" s="3">
        <f t="shared" si="12"/>
        <v>10</v>
      </c>
      <c r="H415" s="3">
        <f>VLOOKUP(A415,'[2]CUMP Articles'!$A:$H,8,0)</f>
        <v>190332</v>
      </c>
      <c r="I415" s="3">
        <f t="shared" si="13"/>
        <v>1903320</v>
      </c>
      <c r="J415" s="3" t="str">
        <f>VLOOKUP(A415,'[3]Stock actif'!$A:$K,10,0)</f>
        <v>Oui</v>
      </c>
      <c r="K415" s="3" t="str">
        <f>VLOOKUP(A415,'[3]Stock actif'!$A:$K,11,0)</f>
        <v>Alcatel-Lucent</v>
      </c>
    </row>
    <row r="416" spans="1:11" x14ac:dyDescent="0.35">
      <c r="A416" s="3">
        <v>30190</v>
      </c>
      <c r="B416" s="3" t="s">
        <v>414</v>
      </c>
      <c r="C416" s="3" t="s">
        <v>4</v>
      </c>
      <c r="D416" s="3" t="s">
        <v>5</v>
      </c>
      <c r="E416" s="3"/>
      <c r="F416" s="3">
        <f>VLOOKUP(A416,[4]fnd_gfm_43298103!$B:$F,5,0)</f>
        <v>10</v>
      </c>
      <c r="G416" s="3">
        <f t="shared" si="12"/>
        <v>10</v>
      </c>
      <c r="H416" s="3">
        <f>VLOOKUP(A416,'[2]CUMP Articles'!$A:$H,8,0)</f>
        <v>23142</v>
      </c>
      <c r="I416" s="3">
        <f t="shared" si="13"/>
        <v>231420</v>
      </c>
      <c r="J416" s="3" t="str">
        <f>VLOOKUP(A416,'[3]Stock actif'!$A:$K,10,0)</f>
        <v>Oui</v>
      </c>
      <c r="K416" s="3" t="str">
        <f>VLOOKUP(A416,'[3]Stock actif'!$A:$K,11,0)</f>
        <v>Alcatel-Lucent</v>
      </c>
    </row>
    <row r="417" spans="1:11" x14ac:dyDescent="0.35">
      <c r="A417" s="3">
        <v>30198</v>
      </c>
      <c r="B417" s="3" t="s">
        <v>415</v>
      </c>
      <c r="C417" s="3" t="s">
        <v>4</v>
      </c>
      <c r="D417" s="3" t="s">
        <v>5</v>
      </c>
      <c r="E417" s="3">
        <f>VLOOKUP(A417,[1]fnd_gfm_43298102!$B:$F,5,0)</f>
        <v>12</v>
      </c>
      <c r="F417" s="3">
        <f>VLOOKUP(A417,[4]fnd_gfm_43298103!$B:$F,5,0)</f>
        <v>72</v>
      </c>
      <c r="G417" s="3">
        <f t="shared" si="12"/>
        <v>84</v>
      </c>
      <c r="H417" s="3">
        <f>VLOOKUP(A417,'[2]CUMP Articles'!$A:$H,8,0)</f>
        <v>45646.890058823497</v>
      </c>
      <c r="I417" s="3">
        <f t="shared" si="13"/>
        <v>3834338.7649411736</v>
      </c>
      <c r="J417" s="3" t="str">
        <f>VLOOKUP(A417,'[3]Stock actif'!$A:$K,10,0)</f>
        <v>Oui</v>
      </c>
      <c r="K417" s="3" t="str">
        <f>VLOOKUP(A417,'[3]Stock actif'!$A:$K,11,0)</f>
        <v>Alcatel-Lucent</v>
      </c>
    </row>
    <row r="418" spans="1:11" x14ac:dyDescent="0.35">
      <c r="A418" s="3">
        <v>30245</v>
      </c>
      <c r="B418" s="3" t="s">
        <v>416</v>
      </c>
      <c r="C418" s="3" t="s">
        <v>4</v>
      </c>
      <c r="D418" s="3" t="s">
        <v>5</v>
      </c>
      <c r="E418" s="3"/>
      <c r="F418" s="3">
        <f>VLOOKUP(A418,[4]fnd_gfm_43298103!$B:$F,5,0)</f>
        <v>4</v>
      </c>
      <c r="G418" s="3">
        <f t="shared" si="12"/>
        <v>4</v>
      </c>
      <c r="H418" s="3">
        <f>VLOOKUP(A418,'[2]CUMP Articles'!$A:$H,8,0)</f>
        <v>514761.150819576</v>
      </c>
      <c r="I418" s="3">
        <f t="shared" si="13"/>
        <v>2059044.603278304</v>
      </c>
      <c r="J418" s="3" t="str">
        <f>VLOOKUP(A418,'[3]Stock actif'!$A:$K,10,0)</f>
        <v>Non</v>
      </c>
      <c r="K418" s="3" t="str">
        <f>VLOOKUP(A418,'[3]Stock actif'!$A:$K,11,0)</f>
        <v>Générique</v>
      </c>
    </row>
    <row r="419" spans="1:11" x14ac:dyDescent="0.35">
      <c r="A419" s="3">
        <v>30248</v>
      </c>
      <c r="B419" s="3" t="s">
        <v>417</v>
      </c>
      <c r="C419" s="3" t="s">
        <v>4</v>
      </c>
      <c r="D419" s="3" t="s">
        <v>5</v>
      </c>
      <c r="E419" s="3">
        <f>VLOOKUP(A419,[1]fnd_gfm_43298102!$B:$F,5,0)</f>
        <v>36</v>
      </c>
      <c r="F419" s="3">
        <f>VLOOKUP(A419,[4]fnd_gfm_43298103!$B:$F,5,0)</f>
        <v>1387</v>
      </c>
      <c r="G419" s="3">
        <f t="shared" si="12"/>
        <v>1423</v>
      </c>
      <c r="H419" s="3">
        <f>VLOOKUP(A419,'[2]CUMP Articles'!$A:$H,8,0)</f>
        <v>7058.7276036831299</v>
      </c>
      <c r="I419" s="3">
        <f t="shared" si="13"/>
        <v>10044569.380041094</v>
      </c>
      <c r="J419" s="3" t="str">
        <f>VLOOKUP(A419,'[3]Stock actif'!$A:$K,10,0)</f>
        <v>Oui</v>
      </c>
      <c r="K419" s="3" t="str">
        <f>VLOOKUP(A419,'[3]Stock actif'!$A:$K,11,0)</f>
        <v>Nexans</v>
      </c>
    </row>
    <row r="420" spans="1:11" x14ac:dyDescent="0.35">
      <c r="A420" s="3">
        <v>30250</v>
      </c>
      <c r="B420" s="3" t="s">
        <v>418</v>
      </c>
      <c r="C420" s="3" t="s">
        <v>4</v>
      </c>
      <c r="D420" s="3" t="s">
        <v>5</v>
      </c>
      <c r="E420" s="3">
        <f>VLOOKUP(A420,[1]fnd_gfm_43298102!$B:$F,5,0)</f>
        <v>30</v>
      </c>
      <c r="F420" s="3"/>
      <c r="G420" s="3">
        <f t="shared" si="12"/>
        <v>30</v>
      </c>
      <c r="H420" s="3">
        <f>VLOOKUP(A420,'[2]CUMP Articles'!$A:$H,8,0)</f>
        <v>19000</v>
      </c>
      <c r="I420" s="3">
        <f t="shared" si="13"/>
        <v>570000</v>
      </c>
      <c r="J420" s="3" t="str">
        <f>VLOOKUP(A420,'[3]Stock actif'!$A:$K,10,0)</f>
        <v>non</v>
      </c>
      <c r="K420" s="3" t="str">
        <f>VLOOKUP(A420,'[3]Stock actif'!$A:$K,11,0)</f>
        <v>nexans</v>
      </c>
    </row>
    <row r="421" spans="1:11" x14ac:dyDescent="0.35">
      <c r="A421" s="3">
        <v>30264</v>
      </c>
      <c r="B421" s="3" t="s">
        <v>419</v>
      </c>
      <c r="C421" s="3" t="s">
        <v>4</v>
      </c>
      <c r="D421" s="3" t="s">
        <v>5</v>
      </c>
      <c r="E421" s="3"/>
      <c r="F421" s="3">
        <f>VLOOKUP(A421,[4]fnd_gfm_43298103!$B:$F,5,0)</f>
        <v>9</v>
      </c>
      <c r="G421" s="3">
        <f t="shared" si="12"/>
        <v>9</v>
      </c>
      <c r="H421" s="3">
        <f>VLOOKUP(A421,'[2]CUMP Articles'!$A:$H,8,0)</f>
        <v>155011</v>
      </c>
      <c r="I421" s="3">
        <f t="shared" si="13"/>
        <v>1395099</v>
      </c>
      <c r="J421" s="3" t="str">
        <f>VLOOKUP(A421,'[3]Stock actif'!$A:$K,10,0)</f>
        <v>Oui</v>
      </c>
      <c r="K421" s="3" t="str">
        <f>VLOOKUP(A421,'[3]Stock actif'!$A:$K,11,0)</f>
        <v>Cisco</v>
      </c>
    </row>
    <row r="422" spans="1:11" x14ac:dyDescent="0.35">
      <c r="A422" s="3">
        <v>30277</v>
      </c>
      <c r="B422" s="3" t="s">
        <v>420</v>
      </c>
      <c r="C422" s="3" t="s">
        <v>4</v>
      </c>
      <c r="D422" s="3" t="s">
        <v>5</v>
      </c>
      <c r="E422" s="3">
        <f>VLOOKUP(A422,[1]fnd_gfm_43298102!$B:$F,5,0)</f>
        <v>3</v>
      </c>
      <c r="F422" s="3"/>
      <c r="G422" s="3">
        <f t="shared" si="12"/>
        <v>3</v>
      </c>
      <c r="H422" s="3">
        <f>VLOOKUP(A422,'[2]CUMP Articles'!$A:$H,8,0)</f>
        <v>36667.996299999999</v>
      </c>
      <c r="I422" s="3">
        <f t="shared" si="13"/>
        <v>110003.9889</v>
      </c>
      <c r="J422" s="3" t="str">
        <f>VLOOKUP(A422,'[3]Stock actif'!$A:$K,10,0)</f>
        <v>Oui</v>
      </c>
      <c r="K422" s="3" t="str">
        <f>VLOOKUP(A422,'[3]Stock actif'!$A:$K,11,0)</f>
        <v>Alcatel-Lucent</v>
      </c>
    </row>
    <row r="423" spans="1:11" x14ac:dyDescent="0.35">
      <c r="A423" s="3">
        <v>30286</v>
      </c>
      <c r="B423" s="3" t="s">
        <v>421</v>
      </c>
      <c r="C423" s="3" t="s">
        <v>4</v>
      </c>
      <c r="D423" s="3" t="s">
        <v>5</v>
      </c>
      <c r="E423" s="3"/>
      <c r="F423" s="3">
        <f>VLOOKUP(A423,[4]fnd_gfm_43298103!$B:$F,5,0)</f>
        <v>5</v>
      </c>
      <c r="G423" s="3">
        <f t="shared" si="12"/>
        <v>5</v>
      </c>
      <c r="H423" s="3">
        <f>VLOOKUP(A423,'[2]CUMP Articles'!$A:$H,8,0)</f>
        <v>153179.07863999999</v>
      </c>
      <c r="I423" s="3">
        <f t="shared" si="13"/>
        <v>765895.39319999993</v>
      </c>
      <c r="J423" s="3" t="str">
        <f>VLOOKUP(A423,'[3]Stock actif'!$A:$K,10,0)</f>
        <v>oui</v>
      </c>
      <c r="K423" s="3" t="str">
        <f>VLOOKUP(A423,'[3]Stock actif'!$A:$K,11,0)</f>
        <v>Alcatel-Lucent</v>
      </c>
    </row>
    <row r="424" spans="1:11" x14ac:dyDescent="0.35">
      <c r="A424" s="3">
        <v>30292</v>
      </c>
      <c r="B424" s="3" t="s">
        <v>422</v>
      </c>
      <c r="C424" s="3" t="s">
        <v>4</v>
      </c>
      <c r="D424" s="3" t="s">
        <v>5</v>
      </c>
      <c r="E424" s="3">
        <f>VLOOKUP(A424,[1]fnd_gfm_43298102!$B:$F,5,0)</f>
        <v>2</v>
      </c>
      <c r="F424" s="3">
        <f>VLOOKUP(A424,[4]fnd_gfm_43298103!$B:$F,5,0)</f>
        <v>3</v>
      </c>
      <c r="G424" s="3">
        <f t="shared" si="12"/>
        <v>5</v>
      </c>
      <c r="H424" s="3">
        <f>VLOOKUP(A424,'[2]CUMP Articles'!$A:$H,8,0)</f>
        <v>250256</v>
      </c>
      <c r="I424" s="3">
        <f t="shared" si="13"/>
        <v>1251280</v>
      </c>
      <c r="J424" s="3" t="str">
        <f>VLOOKUP(A424,'[3]Stock actif'!$A:$K,10,0)</f>
        <v>Oui</v>
      </c>
      <c r="K424" s="3" t="str">
        <f>VLOOKUP(A424,'[3]Stock actif'!$A:$K,11,0)</f>
        <v>Cisco</v>
      </c>
    </row>
    <row r="425" spans="1:11" x14ac:dyDescent="0.35">
      <c r="A425" s="3">
        <v>30294</v>
      </c>
      <c r="B425" s="3" t="s">
        <v>423</v>
      </c>
      <c r="C425" s="3" t="s">
        <v>4</v>
      </c>
      <c r="D425" s="3" t="s">
        <v>5</v>
      </c>
      <c r="E425" s="3"/>
      <c r="F425" s="3">
        <f>VLOOKUP(A425,[4]fnd_gfm_43298103!$B:$F,5,0)</f>
        <v>18</v>
      </c>
      <c r="G425" s="3">
        <f t="shared" si="12"/>
        <v>18</v>
      </c>
      <c r="H425" s="3">
        <f>VLOOKUP(A425,'[2]CUMP Articles'!$A:$H,8,0)</f>
        <v>23142.162960000001</v>
      </c>
      <c r="I425" s="3">
        <f t="shared" si="13"/>
        <v>416558.93328</v>
      </c>
      <c r="J425" s="3" t="str">
        <f>VLOOKUP(A425,'[3]Stock actif'!$A:$K,10,0)</f>
        <v>Oui</v>
      </c>
      <c r="K425" s="3" t="str">
        <f>VLOOKUP(A425,'[3]Stock actif'!$A:$K,11,0)</f>
        <v>Alcatel-Lucent</v>
      </c>
    </row>
    <row r="426" spans="1:11" x14ac:dyDescent="0.35">
      <c r="A426" s="3">
        <v>30299</v>
      </c>
      <c r="B426" s="3" t="s">
        <v>424</v>
      </c>
      <c r="C426" s="3" t="s">
        <v>4</v>
      </c>
      <c r="D426" s="3" t="s">
        <v>5</v>
      </c>
      <c r="E426" s="3">
        <f>VLOOKUP(A426,[1]fnd_gfm_43298102!$B:$F,5,0)</f>
        <v>5</v>
      </c>
      <c r="F426" s="3"/>
      <c r="G426" s="3">
        <f t="shared" si="12"/>
        <v>5</v>
      </c>
      <c r="H426" s="3">
        <f>VLOOKUP(A426,'[2]CUMP Articles'!$A:$H,8,0)</f>
        <v>950</v>
      </c>
      <c r="I426" s="3">
        <f t="shared" si="13"/>
        <v>4750</v>
      </c>
      <c r="J426" s="3" t="str">
        <f>VLOOKUP(A426,'[3]Stock actif'!$A:$K,10,0)</f>
        <v>Non</v>
      </c>
      <c r="K426" s="3" t="str">
        <f>VLOOKUP(A426,'[3]Stock actif'!$A:$K,11,0)</f>
        <v>Générique</v>
      </c>
    </row>
    <row r="427" spans="1:11" x14ac:dyDescent="0.35">
      <c r="A427" s="3">
        <v>30312</v>
      </c>
      <c r="B427" s="3" t="s">
        <v>425</v>
      </c>
      <c r="C427" s="3" t="s">
        <v>4</v>
      </c>
      <c r="D427" s="3" t="s">
        <v>5</v>
      </c>
      <c r="E427" s="3"/>
      <c r="F427" s="3">
        <f>VLOOKUP(A427,[4]fnd_gfm_43298103!$B:$F,5,0)</f>
        <v>130</v>
      </c>
      <c r="G427" s="3">
        <f t="shared" si="12"/>
        <v>130</v>
      </c>
      <c r="H427" s="3">
        <f>VLOOKUP(A427,'[2]CUMP Articles'!$A:$H,8,0)</f>
        <v>101</v>
      </c>
      <c r="I427" s="3">
        <f t="shared" si="13"/>
        <v>13130</v>
      </c>
      <c r="J427" s="3" t="str">
        <f>VLOOKUP(A427,'[3]Stock actif'!$A:$K,10,0)</f>
        <v>Non</v>
      </c>
      <c r="K427" s="3" t="str">
        <f>VLOOKUP(A427,'[3]Stock actif'!$A:$K,11,0)</f>
        <v>Générique</v>
      </c>
    </row>
    <row r="428" spans="1:11" x14ac:dyDescent="0.35">
      <c r="A428" s="3">
        <v>30314</v>
      </c>
      <c r="B428" s="3" t="s">
        <v>426</v>
      </c>
      <c r="C428" s="3" t="s">
        <v>4</v>
      </c>
      <c r="D428" s="3" t="s">
        <v>5</v>
      </c>
      <c r="E428" s="3"/>
      <c r="F428" s="3">
        <f>VLOOKUP(A428,[4]fnd_gfm_43298103!$B:$F,5,0)</f>
        <v>6</v>
      </c>
      <c r="G428" s="3">
        <f t="shared" si="12"/>
        <v>6</v>
      </c>
      <c r="H428" s="3">
        <f>VLOOKUP(A428,'[2]CUMP Articles'!$A:$H,8,0)</f>
        <v>22860</v>
      </c>
      <c r="I428" s="3">
        <f t="shared" si="13"/>
        <v>137160</v>
      </c>
      <c r="J428" s="3" t="str">
        <f>VLOOKUP(A428,'[3]Stock actif'!$A:$K,10,0)</f>
        <v>Oui</v>
      </c>
      <c r="K428" s="3" t="str">
        <f>VLOOKUP(A428,'[3]Stock actif'!$A:$K,11,0)</f>
        <v>Nexans</v>
      </c>
    </row>
    <row r="429" spans="1:11" x14ac:dyDescent="0.35">
      <c r="A429" s="3">
        <v>30317</v>
      </c>
      <c r="B429" s="3" t="s">
        <v>427</v>
      </c>
      <c r="C429" s="3" t="s">
        <v>4</v>
      </c>
      <c r="D429" s="3" t="s">
        <v>120</v>
      </c>
      <c r="E429" s="3">
        <f>VLOOKUP(A429,[1]fnd_gfm_43298102!$B:$F,5,0)</f>
        <v>10</v>
      </c>
      <c r="F429" s="3">
        <f>VLOOKUP(A429,[4]fnd_gfm_43298103!$B:$F,5,0)</f>
        <v>90</v>
      </c>
      <c r="G429" s="3">
        <f t="shared" si="12"/>
        <v>100</v>
      </c>
      <c r="H429" s="3">
        <f>VLOOKUP(A429,'[2]CUMP Articles'!$A:$H,8,0)</f>
        <v>30436.952002516598</v>
      </c>
      <c r="I429" s="3">
        <f t="shared" si="13"/>
        <v>3043695.2002516598</v>
      </c>
      <c r="J429" s="3" t="str">
        <f>VLOOKUP(A429,'[3]Stock actif'!$A:$K,10,0)</f>
        <v>Oui</v>
      </c>
      <c r="K429" s="3" t="str">
        <f>VLOOKUP(A429,'[3]Stock actif'!$A:$K,11,0)</f>
        <v>Générique</v>
      </c>
    </row>
    <row r="430" spans="1:11" x14ac:dyDescent="0.35">
      <c r="A430" s="3">
        <v>30357</v>
      </c>
      <c r="B430" s="3" t="s">
        <v>428</v>
      </c>
      <c r="C430" s="3" t="s">
        <v>4</v>
      </c>
      <c r="D430" s="3" t="s">
        <v>5</v>
      </c>
      <c r="E430" s="3"/>
      <c r="F430" s="3">
        <f>VLOOKUP(A430,[4]fnd_gfm_43298103!$B:$F,5,0)</f>
        <v>5</v>
      </c>
      <c r="G430" s="3">
        <f t="shared" si="12"/>
        <v>5</v>
      </c>
      <c r="H430" s="3">
        <f>VLOOKUP(A430,'[2]CUMP Articles'!$A:$H,8,0)</f>
        <v>581600.03202330996</v>
      </c>
      <c r="I430" s="3">
        <f t="shared" si="13"/>
        <v>2908000.1601165496</v>
      </c>
      <c r="J430" s="3" t="str">
        <f>VLOOKUP(A430,'[3]Stock actif'!$A:$K,10,0)</f>
        <v>Oui</v>
      </c>
      <c r="K430" s="3" t="str">
        <f>VLOOKUP(A430,'[3]Stock actif'!$A:$K,11,0)</f>
        <v>Cisco</v>
      </c>
    </row>
    <row r="431" spans="1:11" x14ac:dyDescent="0.35">
      <c r="A431" s="3">
        <v>30359</v>
      </c>
      <c r="B431" s="3" t="s">
        <v>429</v>
      </c>
      <c r="C431" s="3" t="s">
        <v>4</v>
      </c>
      <c r="D431" s="3" t="s">
        <v>5</v>
      </c>
      <c r="E431" s="3"/>
      <c r="F431" s="3">
        <f>VLOOKUP(A431,[4]fnd_gfm_43298103!$B:$F,5,0)</f>
        <v>100</v>
      </c>
      <c r="G431" s="3">
        <f t="shared" si="12"/>
        <v>100</v>
      </c>
      <c r="H431" s="3">
        <f>VLOOKUP(A431,'[2]CUMP Articles'!$A:$H,8,0)</f>
        <v>3500</v>
      </c>
      <c r="I431" s="3">
        <f t="shared" si="13"/>
        <v>350000</v>
      </c>
      <c r="J431" s="3" t="str">
        <f>VLOOKUP(A431,'[3]Stock actif'!$A:$K,10,0)</f>
        <v>Non</v>
      </c>
      <c r="K431" s="3" t="str">
        <f>VLOOKUP(A431,'[3]Stock actif'!$A:$K,11,0)</f>
        <v>Générique</v>
      </c>
    </row>
    <row r="432" spans="1:11" x14ac:dyDescent="0.35">
      <c r="A432" s="3">
        <v>30365</v>
      </c>
      <c r="B432" s="3" t="s">
        <v>430</v>
      </c>
      <c r="C432" s="3" t="s">
        <v>4</v>
      </c>
      <c r="D432" s="3" t="s">
        <v>5</v>
      </c>
      <c r="E432" s="3">
        <f>VLOOKUP(A432,[1]fnd_gfm_43298102!$B:$F,5,0)</f>
        <v>2</v>
      </c>
      <c r="F432" s="3">
        <f>VLOOKUP(A432,[4]fnd_gfm_43298103!$B:$F,5,0)</f>
        <v>76</v>
      </c>
      <c r="G432" s="3">
        <f t="shared" si="12"/>
        <v>78</v>
      </c>
      <c r="H432" s="3">
        <f>VLOOKUP(A432,'[2]CUMP Articles'!$A:$H,8,0)</f>
        <v>138776.00738896799</v>
      </c>
      <c r="I432" s="3">
        <f t="shared" si="13"/>
        <v>10824528.576339504</v>
      </c>
      <c r="J432" s="3" t="str">
        <f>VLOOKUP(A432,'[3]Stock actif'!$A:$K,10,0)</f>
        <v>Oui</v>
      </c>
      <c r="K432" s="3" t="str">
        <f>VLOOKUP(A432,'[3]Stock actif'!$A:$K,11,0)</f>
        <v>Alcatel-Lucent</v>
      </c>
    </row>
    <row r="433" spans="1:11" x14ac:dyDescent="0.35">
      <c r="A433" s="3">
        <v>30493</v>
      </c>
      <c r="B433" s="3" t="s">
        <v>431</v>
      </c>
      <c r="C433" s="3" t="s">
        <v>4</v>
      </c>
      <c r="D433" s="3" t="s">
        <v>5</v>
      </c>
      <c r="E433" s="3"/>
      <c r="F433" s="3">
        <f>VLOOKUP(A433,[4]fnd_gfm_43298103!$B:$F,5,0)</f>
        <v>67</v>
      </c>
      <c r="G433" s="3">
        <f t="shared" si="12"/>
        <v>67</v>
      </c>
      <c r="H433" s="3">
        <f>VLOOKUP(A433,'[2]CUMP Articles'!$A:$H,8,0)</f>
        <v>1387.5</v>
      </c>
      <c r="I433" s="3">
        <f t="shared" si="13"/>
        <v>92962.5</v>
      </c>
      <c r="J433" s="3" t="str">
        <f>VLOOKUP(A433,'[3]Stock actif'!$A:$K,10,0)</f>
        <v>Non</v>
      </c>
      <c r="K433" s="3" t="str">
        <f>VLOOKUP(A433,'[3]Stock actif'!$A:$K,11,0)</f>
        <v>Générique</v>
      </c>
    </row>
    <row r="434" spans="1:11" x14ac:dyDescent="0.35">
      <c r="A434" s="3">
        <v>30497</v>
      </c>
      <c r="B434" s="3" t="s">
        <v>432</v>
      </c>
      <c r="C434" s="3" t="s">
        <v>4</v>
      </c>
      <c r="D434" s="3" t="s">
        <v>5</v>
      </c>
      <c r="E434" s="3"/>
      <c r="F434" s="3">
        <f>VLOOKUP(A434,[4]fnd_gfm_43298103!$B:$F,5,0)</f>
        <v>300</v>
      </c>
      <c r="G434" s="3">
        <f t="shared" si="12"/>
        <v>300</v>
      </c>
      <c r="H434" s="3">
        <f>VLOOKUP(A434,'[2]CUMP Articles'!$A:$H,8,0)</f>
        <v>773</v>
      </c>
      <c r="I434" s="3">
        <f t="shared" si="13"/>
        <v>231900</v>
      </c>
      <c r="J434" s="3" t="str">
        <f>VLOOKUP(A434,'[3]Stock actif'!$A:$K,10,0)</f>
        <v>Non</v>
      </c>
      <c r="K434" s="3" t="str">
        <f>VLOOKUP(A434,'[3]Stock actif'!$A:$K,11,0)</f>
        <v>Générique</v>
      </c>
    </row>
    <row r="435" spans="1:11" x14ac:dyDescent="0.35">
      <c r="A435" s="3">
        <v>30503</v>
      </c>
      <c r="B435" s="3" t="s">
        <v>433</v>
      </c>
      <c r="C435" s="3" t="s">
        <v>4</v>
      </c>
      <c r="D435" s="3" t="s">
        <v>5</v>
      </c>
      <c r="E435" s="3">
        <f>VLOOKUP(A435,[1]fnd_gfm_43298102!$B:$F,5,0)</f>
        <v>20</v>
      </c>
      <c r="F435" s="3">
        <f>VLOOKUP(A435,[4]fnd_gfm_43298103!$B:$F,5,0)</f>
        <v>60</v>
      </c>
      <c r="G435" s="3">
        <f t="shared" si="12"/>
        <v>80</v>
      </c>
      <c r="H435" s="3">
        <f>VLOOKUP(A435,'[2]CUMP Articles'!$A:$H,8,0)</f>
        <v>1012.5</v>
      </c>
      <c r="I435" s="3">
        <f t="shared" si="13"/>
        <v>81000</v>
      </c>
      <c r="J435" s="3" t="str">
        <f>VLOOKUP(A435,'[3]Stock actif'!$A:$K,10,0)</f>
        <v>Non</v>
      </c>
      <c r="K435" s="3" t="str">
        <f>VLOOKUP(A435,'[3]Stock actif'!$A:$K,11,0)</f>
        <v>Générique</v>
      </c>
    </row>
    <row r="436" spans="1:11" x14ac:dyDescent="0.35">
      <c r="A436" s="3">
        <v>30504</v>
      </c>
      <c r="B436" s="3" t="s">
        <v>434</v>
      </c>
      <c r="C436" s="3" t="s">
        <v>4</v>
      </c>
      <c r="D436" s="3" t="s">
        <v>5</v>
      </c>
      <c r="E436" s="3">
        <f>VLOOKUP(A436,[1]fnd_gfm_43298102!$B:$F,5,0)</f>
        <v>5</v>
      </c>
      <c r="F436" s="3">
        <f>VLOOKUP(A436,[4]fnd_gfm_43298103!$B:$F,5,0)</f>
        <v>239</v>
      </c>
      <c r="G436" s="3">
        <f t="shared" si="12"/>
        <v>244</v>
      </c>
      <c r="H436" s="3">
        <f>VLOOKUP(A436,'[2]CUMP Articles'!$A:$H,8,0)</f>
        <v>2320</v>
      </c>
      <c r="I436" s="3">
        <f t="shared" si="13"/>
        <v>566080</v>
      </c>
      <c r="J436" s="3" t="str">
        <f>VLOOKUP(A436,'[3]Stock actif'!$A:$K,10,0)</f>
        <v>Non</v>
      </c>
      <c r="K436" s="3" t="str">
        <f>VLOOKUP(A436,'[3]Stock actif'!$A:$K,11,0)</f>
        <v>Générique</v>
      </c>
    </row>
    <row r="437" spans="1:11" x14ac:dyDescent="0.35">
      <c r="A437" s="3">
        <v>30515</v>
      </c>
      <c r="B437" s="3" t="s">
        <v>435</v>
      </c>
      <c r="C437" s="3" t="s">
        <v>4</v>
      </c>
      <c r="D437" s="3" t="s">
        <v>5</v>
      </c>
      <c r="E437" s="3">
        <f>VLOOKUP(A437,[1]fnd_gfm_43298102!$B:$F,5,0)</f>
        <v>1</v>
      </c>
      <c r="F437" s="3">
        <f>VLOOKUP(A437,[4]fnd_gfm_43298103!$B:$F,5,0)</f>
        <v>1</v>
      </c>
      <c r="G437" s="3">
        <f t="shared" si="12"/>
        <v>2</v>
      </c>
      <c r="H437" s="3">
        <f>VLOOKUP(A437,'[2]CUMP Articles'!$A:$H,8,0)</f>
        <v>351011</v>
      </c>
      <c r="I437" s="3">
        <f t="shared" si="13"/>
        <v>702022</v>
      </c>
      <c r="J437" s="3" t="str">
        <f>VLOOKUP(A437,'[3]Stock actif'!$A:$K,10,0)</f>
        <v>Oui</v>
      </c>
      <c r="K437" s="3" t="str">
        <f>VLOOKUP(A437,'[3]Stock actif'!$A:$K,11,0)</f>
        <v>Cisco</v>
      </c>
    </row>
    <row r="438" spans="1:11" x14ac:dyDescent="0.35">
      <c r="A438" s="3">
        <v>30517</v>
      </c>
      <c r="B438" s="3" t="s">
        <v>436</v>
      </c>
      <c r="C438" s="3" t="s">
        <v>4</v>
      </c>
      <c r="D438" s="3" t="s">
        <v>5</v>
      </c>
      <c r="E438" s="3"/>
      <c r="F438" s="3">
        <f>VLOOKUP(A438,[4]fnd_gfm_43298103!$B:$F,5,0)</f>
        <v>5</v>
      </c>
      <c r="G438" s="3">
        <f t="shared" si="12"/>
        <v>5</v>
      </c>
      <c r="H438" s="3">
        <f>VLOOKUP(A438,'[2]CUMP Articles'!$A:$H,8,0)</f>
        <v>9602.5400000000009</v>
      </c>
      <c r="I438" s="3">
        <f t="shared" si="13"/>
        <v>48012.700000000004</v>
      </c>
      <c r="J438" s="3" t="str">
        <f>VLOOKUP(A438,'[3]Stock actif'!$A:$K,10,0)</f>
        <v>Oui</v>
      </c>
      <c r="K438" s="3" t="str">
        <f>VLOOKUP(A438,'[3]Stock actif'!$A:$K,11,0)</f>
        <v>Cisco</v>
      </c>
    </row>
    <row r="439" spans="1:11" x14ac:dyDescent="0.35">
      <c r="A439" s="3">
        <v>30609</v>
      </c>
      <c r="B439" s="3" t="s">
        <v>437</v>
      </c>
      <c r="C439" s="3" t="s">
        <v>4</v>
      </c>
      <c r="D439" s="3" t="s">
        <v>5</v>
      </c>
      <c r="E439" s="3">
        <f>VLOOKUP(A439,[1]fnd_gfm_43298102!$B:$F,5,0)</f>
        <v>8</v>
      </c>
      <c r="F439" s="3"/>
      <c r="G439" s="3">
        <f t="shared" si="12"/>
        <v>8</v>
      </c>
      <c r="H439" s="3">
        <f>VLOOKUP(A439,'[2]CUMP Articles'!$A:$H,8,0)</f>
        <v>11132</v>
      </c>
      <c r="I439" s="3">
        <f t="shared" si="13"/>
        <v>89056</v>
      </c>
      <c r="J439" s="3" t="str">
        <f>VLOOKUP(A439,'[3]Stock actif'!$A:$K,10,0)</f>
        <v>Non</v>
      </c>
      <c r="K439" s="3" t="str">
        <f>VLOOKUP(A439,'[3]Stock actif'!$A:$K,11,0)</f>
        <v>Générique</v>
      </c>
    </row>
    <row r="440" spans="1:11" x14ac:dyDescent="0.35">
      <c r="A440" s="3">
        <v>30610</v>
      </c>
      <c r="B440" s="3" t="s">
        <v>438</v>
      </c>
      <c r="C440" s="3" t="s">
        <v>4</v>
      </c>
      <c r="D440" s="3" t="s">
        <v>5</v>
      </c>
      <c r="E440" s="3">
        <f>VLOOKUP(A440,[1]fnd_gfm_43298102!$B:$F,5,0)</f>
        <v>7</v>
      </c>
      <c r="F440" s="3"/>
      <c r="G440" s="3">
        <f t="shared" si="12"/>
        <v>7</v>
      </c>
      <c r="H440" s="3">
        <f>VLOOKUP(A440,'[2]CUMP Articles'!$A:$H,8,0)</f>
        <v>31125</v>
      </c>
      <c r="I440" s="3">
        <f t="shared" si="13"/>
        <v>217875</v>
      </c>
      <c r="J440" s="3" t="str">
        <f>VLOOKUP(A440,'[3]Stock actif'!$A:$K,10,0)</f>
        <v>Oui</v>
      </c>
      <c r="K440" s="3" t="str">
        <f>VLOOKUP(A440,'[3]Stock actif'!$A:$K,11,0)</f>
        <v>Générique</v>
      </c>
    </row>
    <row r="441" spans="1:11" x14ac:dyDescent="0.35">
      <c r="A441" s="3">
        <v>30611</v>
      </c>
      <c r="B441" s="3" t="s">
        <v>180</v>
      </c>
      <c r="C441" s="3" t="s">
        <v>4</v>
      </c>
      <c r="D441" s="3" t="s">
        <v>5</v>
      </c>
      <c r="E441" s="3">
        <f>VLOOKUP(A441,[1]fnd_gfm_43298102!$B:$F,5,0)</f>
        <v>1</v>
      </c>
      <c r="F441" s="3"/>
      <c r="G441" s="3">
        <f t="shared" si="12"/>
        <v>1</v>
      </c>
      <c r="H441" s="3">
        <f>VLOOKUP(A441,'[2]CUMP Articles'!$A:$H,8,0)</f>
        <v>625578.09957715205</v>
      </c>
      <c r="I441" s="3">
        <f t="shared" si="13"/>
        <v>625578.09957715205</v>
      </c>
      <c r="J441" s="3" t="str">
        <f>VLOOKUP(A441,'[3]Stock actif'!$A:$K,10,0)</f>
        <v>Oui</v>
      </c>
      <c r="K441" s="3" t="str">
        <f>VLOOKUP(A441,'[3]Stock actif'!$A:$K,11,0)</f>
        <v>Fortinet</v>
      </c>
    </row>
    <row r="442" spans="1:11" x14ac:dyDescent="0.35">
      <c r="A442" s="3">
        <v>30816</v>
      </c>
      <c r="B442" s="3" t="s">
        <v>439</v>
      </c>
      <c r="C442" s="3" t="s">
        <v>4</v>
      </c>
      <c r="D442" s="3" t="s">
        <v>5</v>
      </c>
      <c r="E442" s="3">
        <f>VLOOKUP(A442,[1]fnd_gfm_43298102!$B:$F,5,0)</f>
        <v>2</v>
      </c>
      <c r="F442" s="3">
        <f>VLOOKUP(A442,[4]fnd_gfm_43298103!$B:$F,5,0)</f>
        <v>3</v>
      </c>
      <c r="G442" s="3">
        <f t="shared" si="12"/>
        <v>5</v>
      </c>
      <c r="H442" s="3">
        <f>VLOOKUP(A442,'[2]CUMP Articles'!$A:$H,8,0)</f>
        <v>6248</v>
      </c>
      <c r="I442" s="3">
        <f t="shared" si="13"/>
        <v>31240</v>
      </c>
      <c r="J442" s="3" t="str">
        <f>VLOOKUP(A442,'[3]Stock actif'!$A:$K,10,0)</f>
        <v>Oui</v>
      </c>
      <c r="K442" s="3" t="str">
        <f>VLOOKUP(A442,'[3]Stock actif'!$A:$K,11,0)</f>
        <v>Nexans</v>
      </c>
    </row>
    <row r="443" spans="1:11" x14ac:dyDescent="0.35">
      <c r="A443" s="3">
        <v>30819</v>
      </c>
      <c r="B443" s="3" t="s">
        <v>440</v>
      </c>
      <c r="C443" s="3" t="s">
        <v>4</v>
      </c>
      <c r="D443" s="3" t="s">
        <v>5</v>
      </c>
      <c r="E443" s="3">
        <f>VLOOKUP(A443,[1]fnd_gfm_43298102!$B:$F,5,0)</f>
        <v>1</v>
      </c>
      <c r="F443" s="3"/>
      <c r="G443" s="3">
        <f t="shared" si="12"/>
        <v>1</v>
      </c>
      <c r="H443" s="3">
        <f>VLOOKUP(A443,'[2]CUMP Articles'!$A:$H,8,0)</f>
        <v>9644</v>
      </c>
      <c r="I443" s="3">
        <f t="shared" si="13"/>
        <v>9644</v>
      </c>
      <c r="J443" s="3" t="str">
        <f>VLOOKUP(A443,'[3]Stock actif'!$A:$K,10,0)</f>
        <v>Oui</v>
      </c>
      <c r="K443" s="3" t="str">
        <f>VLOOKUP(A443,'[3]Stock actif'!$A:$K,11,0)</f>
        <v>Générique</v>
      </c>
    </row>
    <row r="444" spans="1:11" x14ac:dyDescent="0.35">
      <c r="A444" s="3">
        <v>30834</v>
      </c>
      <c r="B444" s="3" t="s">
        <v>441</v>
      </c>
      <c r="C444" s="3" t="s">
        <v>4</v>
      </c>
      <c r="D444" s="3" t="s">
        <v>5</v>
      </c>
      <c r="E444" s="3"/>
      <c r="F444" s="3">
        <f>VLOOKUP(A444,[4]fnd_gfm_43298103!$B:$F,5,0)</f>
        <v>1</v>
      </c>
      <c r="G444" s="3">
        <f t="shared" si="12"/>
        <v>1</v>
      </c>
      <c r="H444" s="3">
        <f>VLOOKUP(A444,'[2]CUMP Articles'!$A:$H,8,0)</f>
        <v>249264</v>
      </c>
      <c r="I444" s="3">
        <f t="shared" si="13"/>
        <v>249264</v>
      </c>
      <c r="J444" s="3" t="str">
        <f>VLOOKUP(A444,'[3]Stock actif'!$A:$K,10,0)</f>
        <v>Oui</v>
      </c>
      <c r="K444" s="3" t="str">
        <f>VLOOKUP(A444,'[3]Stock actif'!$A:$K,11,0)</f>
        <v>Alcatel-Lucent</v>
      </c>
    </row>
    <row r="445" spans="1:11" x14ac:dyDescent="0.35">
      <c r="A445" s="3">
        <v>30835</v>
      </c>
      <c r="B445" s="3" t="s">
        <v>442</v>
      </c>
      <c r="C445" s="3" t="s">
        <v>4</v>
      </c>
      <c r="D445" s="3" t="s">
        <v>5</v>
      </c>
      <c r="E445" s="3"/>
      <c r="F445" s="3">
        <f>VLOOKUP(A445,[4]fnd_gfm_43298103!$B:$F,5,0)</f>
        <v>7</v>
      </c>
      <c r="G445" s="3">
        <f t="shared" si="12"/>
        <v>7</v>
      </c>
      <c r="H445" s="3">
        <f>VLOOKUP(A445,'[2]CUMP Articles'!$A:$H,8,0)</f>
        <v>249264</v>
      </c>
      <c r="I445" s="3">
        <f t="shared" si="13"/>
        <v>1744848</v>
      </c>
      <c r="J445" s="3" t="str">
        <f>VLOOKUP(A445,'[3]Stock actif'!$A:$K,10,0)</f>
        <v>Oui</v>
      </c>
      <c r="K445" s="3" t="str">
        <f>VLOOKUP(A445,'[3]Stock actif'!$A:$K,11,0)</f>
        <v>Alcatel-Lucent</v>
      </c>
    </row>
    <row r="446" spans="1:11" x14ac:dyDescent="0.35">
      <c r="A446" s="3">
        <v>30836</v>
      </c>
      <c r="B446" s="3" t="s">
        <v>443</v>
      </c>
      <c r="C446" s="3" t="s">
        <v>4</v>
      </c>
      <c r="D446" s="3" t="s">
        <v>5</v>
      </c>
      <c r="E446" s="3">
        <f>VLOOKUP(A446,[1]fnd_gfm_43298102!$B:$F,5,0)</f>
        <v>1</v>
      </c>
      <c r="F446" s="3"/>
      <c r="G446" s="3">
        <f t="shared" si="12"/>
        <v>1</v>
      </c>
      <c r="H446" s="3">
        <f>VLOOKUP(A446,'[2]CUMP Articles'!$A:$H,8,0)</f>
        <v>2492637</v>
      </c>
      <c r="I446" s="3">
        <f t="shared" si="13"/>
        <v>2492637</v>
      </c>
      <c r="J446" s="3" t="str">
        <f>VLOOKUP(A446,'[3]Stock actif'!$A:$K,10,0)</f>
        <v>Oui</v>
      </c>
      <c r="K446" s="3" t="str">
        <f>VLOOKUP(A446,'[3]Stock actif'!$A:$K,11,0)</f>
        <v>Alcatel-Lucent</v>
      </c>
    </row>
    <row r="447" spans="1:11" x14ac:dyDescent="0.35">
      <c r="A447" s="3">
        <v>30837</v>
      </c>
      <c r="B447" s="3" t="s">
        <v>444</v>
      </c>
      <c r="C447" s="3" t="s">
        <v>4</v>
      </c>
      <c r="D447" s="3" t="s">
        <v>5</v>
      </c>
      <c r="E447" s="3">
        <f>VLOOKUP(A447,[1]fnd_gfm_43298102!$B:$F,5,0)</f>
        <v>3</v>
      </c>
      <c r="F447" s="3">
        <f>VLOOKUP(A447,[4]fnd_gfm_43298103!$B:$F,5,0)</f>
        <v>7</v>
      </c>
      <c r="G447" s="3">
        <f t="shared" si="12"/>
        <v>10</v>
      </c>
      <c r="H447" s="3">
        <f>VLOOKUP(A447,'[2]CUMP Articles'!$A:$H,8,0)</f>
        <v>249264</v>
      </c>
      <c r="I447" s="3">
        <f t="shared" si="13"/>
        <v>2492640</v>
      </c>
      <c r="J447" s="3" t="str">
        <f>VLOOKUP(A447,'[3]Stock actif'!$A:$K,10,0)</f>
        <v>Oui</v>
      </c>
      <c r="K447" s="3" t="str">
        <f>VLOOKUP(A447,'[3]Stock actif'!$A:$K,11,0)</f>
        <v>Alcatel-Lucent</v>
      </c>
    </row>
    <row r="448" spans="1:11" x14ac:dyDescent="0.35">
      <c r="A448" s="3">
        <v>30874</v>
      </c>
      <c r="B448" s="3" t="s">
        <v>445</v>
      </c>
      <c r="C448" s="3" t="s">
        <v>4</v>
      </c>
      <c r="D448" s="3" t="s">
        <v>5</v>
      </c>
      <c r="E448" s="3"/>
      <c r="F448" s="3">
        <f>VLOOKUP(A448,[4]fnd_gfm_43298103!$B:$F,5,0)</f>
        <v>2</v>
      </c>
      <c r="G448" s="3">
        <f t="shared" si="12"/>
        <v>2</v>
      </c>
      <c r="H448" s="3">
        <f>VLOOKUP(A448,'[2]CUMP Articles'!$A:$H,8,0)</f>
        <v>37537</v>
      </c>
      <c r="I448" s="3">
        <f t="shared" si="13"/>
        <v>75074</v>
      </c>
      <c r="J448" s="3" t="str">
        <f>VLOOKUP(A448,'[3]Stock actif'!$A:$K,10,0)</f>
        <v>Oui</v>
      </c>
      <c r="K448" s="3" t="str">
        <f>VLOOKUP(A448,'[3]Stock actif'!$A:$K,11,0)</f>
        <v>Alcatel-Lucent</v>
      </c>
    </row>
    <row r="449" spans="1:11" x14ac:dyDescent="0.35">
      <c r="A449" s="3">
        <v>30876</v>
      </c>
      <c r="B449" s="3" t="s">
        <v>446</v>
      </c>
      <c r="C449" s="3" t="s">
        <v>4</v>
      </c>
      <c r="D449" s="3" t="s">
        <v>5</v>
      </c>
      <c r="E449" s="3">
        <f>VLOOKUP(A449,[1]fnd_gfm_43298102!$B:$F,5,0)</f>
        <v>2</v>
      </c>
      <c r="F449" s="3"/>
      <c r="G449" s="3">
        <f t="shared" si="12"/>
        <v>2</v>
      </c>
      <c r="H449" s="3">
        <f>VLOOKUP(A449,'[2]CUMP Articles'!$A:$H,8,0)</f>
        <v>753301</v>
      </c>
      <c r="I449" s="3">
        <f t="shared" si="13"/>
        <v>1506602</v>
      </c>
      <c r="J449" s="3" t="str">
        <f>VLOOKUP(A449,'[3]Stock actif'!$A:$K,10,0)</f>
        <v>Oui</v>
      </c>
      <c r="K449" s="3" t="str">
        <f>VLOOKUP(A449,'[3]Stock actif'!$A:$K,11,0)</f>
        <v>Alcatel-Lucent</v>
      </c>
    </row>
    <row r="450" spans="1:11" x14ac:dyDescent="0.35">
      <c r="A450" s="3">
        <v>30939</v>
      </c>
      <c r="B450" s="3" t="s">
        <v>447</v>
      </c>
      <c r="C450" s="3" t="s">
        <v>4</v>
      </c>
      <c r="D450" s="3" t="s">
        <v>5</v>
      </c>
      <c r="E450" s="3">
        <f>VLOOKUP(A450,[1]fnd_gfm_43298102!$B:$F,5,0)</f>
        <v>153</v>
      </c>
      <c r="F450" s="3">
        <f>VLOOKUP(A450,[4]fnd_gfm_43298103!$B:$F,5,0)</f>
        <v>442</v>
      </c>
      <c r="G450" s="3">
        <f t="shared" si="12"/>
        <v>595</v>
      </c>
      <c r="H450" s="3">
        <f>VLOOKUP(A450,'[2]CUMP Articles'!$A:$H,8,0)</f>
        <v>6805.4253114767098</v>
      </c>
      <c r="I450" s="3">
        <f t="shared" si="13"/>
        <v>4049228.0603286424</v>
      </c>
      <c r="J450" s="3" t="str">
        <f>VLOOKUP(A450,'[3]Stock actif'!$A:$K,10,0)</f>
        <v>Oui</v>
      </c>
      <c r="K450" s="3" t="str">
        <f>VLOOKUP(A450,'[3]Stock actif'!$A:$K,11,0)</f>
        <v>Alcatel-Lucent</v>
      </c>
    </row>
    <row r="451" spans="1:11" x14ac:dyDescent="0.35">
      <c r="A451" s="3">
        <v>30945</v>
      </c>
      <c r="B451" s="3" t="s">
        <v>448</v>
      </c>
      <c r="C451" s="3" t="s">
        <v>4</v>
      </c>
      <c r="D451" s="3" t="s">
        <v>5</v>
      </c>
      <c r="E451" s="3"/>
      <c r="F451" s="3">
        <f>VLOOKUP(A451,[4]fnd_gfm_43298103!$B:$F,5,0)</f>
        <v>8</v>
      </c>
      <c r="G451" s="3">
        <f t="shared" ref="G451:G514" si="14">SUM(E451:F451)</f>
        <v>8</v>
      </c>
      <c r="H451" s="3">
        <f>VLOOKUP(A451,'[2]CUMP Articles'!$A:$H,8,0)</f>
        <v>7758</v>
      </c>
      <c r="I451" s="3">
        <f t="shared" ref="I451:I514" si="15">H451*G451</f>
        <v>62064</v>
      </c>
      <c r="J451" s="3" t="str">
        <f>VLOOKUP(A451,'[3]Stock actif'!$A:$K,10,0)</f>
        <v>Oui</v>
      </c>
      <c r="K451" s="3" t="str">
        <f>VLOOKUP(A451,'[3]Stock actif'!$A:$K,11,0)</f>
        <v>Alcatel-Lucent</v>
      </c>
    </row>
    <row r="452" spans="1:11" x14ac:dyDescent="0.35">
      <c r="A452" s="3">
        <v>30946</v>
      </c>
      <c r="B452" s="3" t="s">
        <v>449</v>
      </c>
      <c r="C452" s="3" t="s">
        <v>4</v>
      </c>
      <c r="D452" s="3" t="s">
        <v>5</v>
      </c>
      <c r="E452" s="3"/>
      <c r="F452" s="3">
        <f>VLOOKUP(A452,[4]fnd_gfm_43298103!$B:$F,5,0)</f>
        <v>117</v>
      </c>
      <c r="G452" s="3">
        <f t="shared" si="14"/>
        <v>117</v>
      </c>
      <c r="H452" s="3">
        <f>VLOOKUP(A452,'[2]CUMP Articles'!$A:$H,8,0)</f>
        <v>34188</v>
      </c>
      <c r="I452" s="3">
        <f t="shared" si="15"/>
        <v>3999996</v>
      </c>
      <c r="J452" s="3" t="str">
        <f>VLOOKUP(A452,'[3]Stock actif'!$A:$K,10,0)</f>
        <v>Oui</v>
      </c>
      <c r="K452" s="3" t="str">
        <f>VLOOKUP(A452,'[3]Stock actif'!$A:$K,11,0)</f>
        <v>Générique</v>
      </c>
    </row>
    <row r="453" spans="1:11" x14ac:dyDescent="0.35">
      <c r="A453" s="3">
        <v>30972</v>
      </c>
      <c r="B453" s="3" t="s">
        <v>450</v>
      </c>
      <c r="C453" s="3" t="s">
        <v>4</v>
      </c>
      <c r="D453" s="3" t="s">
        <v>5</v>
      </c>
      <c r="E453" s="3">
        <f>VLOOKUP(A453,[1]fnd_gfm_43298102!$B:$F,5,0)</f>
        <v>33</v>
      </c>
      <c r="F453" s="3"/>
      <c r="G453" s="3">
        <f t="shared" si="14"/>
        <v>33</v>
      </c>
      <c r="H453" s="3">
        <f>VLOOKUP(A453,'[2]CUMP Articles'!$A:$H,8,0)</f>
        <v>98500</v>
      </c>
      <c r="I453" s="3">
        <f t="shared" si="15"/>
        <v>3250500</v>
      </c>
      <c r="J453" s="3" t="str">
        <f>VLOOKUP(A453,'[3]Stock actif'!$A:$K,10,0)</f>
        <v>non</v>
      </c>
      <c r="K453" s="3" t="str">
        <f>VLOOKUP(A453,'[3]Stock actif'!$A:$K,11,0)</f>
        <v>Générique</v>
      </c>
    </row>
    <row r="454" spans="1:11" x14ac:dyDescent="0.35">
      <c r="A454" s="3">
        <v>30977</v>
      </c>
      <c r="B454" s="3" t="s">
        <v>451</v>
      </c>
      <c r="C454" s="3" t="s">
        <v>4</v>
      </c>
      <c r="D454" s="3" t="s">
        <v>5</v>
      </c>
      <c r="E454" s="3">
        <f>VLOOKUP(A454,[1]fnd_gfm_43298102!$B:$F,5,0)</f>
        <v>6036</v>
      </c>
      <c r="F454" s="3">
        <f>VLOOKUP(A454,[4]fnd_gfm_43298103!$B:$F,5,0)</f>
        <v>4000</v>
      </c>
      <c r="G454" s="3">
        <f t="shared" si="14"/>
        <v>10036</v>
      </c>
      <c r="H454" s="3">
        <f>VLOOKUP(A454,'[2]CUMP Articles'!$A:$H,8,0)</f>
        <v>191.95414925927801</v>
      </c>
      <c r="I454" s="3">
        <f t="shared" si="15"/>
        <v>1926451.8419661142</v>
      </c>
      <c r="J454" s="3" t="str">
        <f>VLOOKUP(A454,'[3]Stock actif'!$A:$K,10,0)</f>
        <v>Non</v>
      </c>
      <c r="K454" s="3" t="str">
        <f>VLOOKUP(A454,'[3]Stock actif'!$A:$K,11,0)</f>
        <v>Générique</v>
      </c>
    </row>
    <row r="455" spans="1:11" x14ac:dyDescent="0.35">
      <c r="A455" s="3">
        <v>30990</v>
      </c>
      <c r="B455" s="3" t="s">
        <v>452</v>
      </c>
      <c r="C455" s="3" t="s">
        <v>4</v>
      </c>
      <c r="D455" s="3" t="s">
        <v>5</v>
      </c>
      <c r="E455" s="3">
        <f>VLOOKUP(A455,[1]fnd_gfm_43298102!$B:$F,5,0)</f>
        <v>3</v>
      </c>
      <c r="F455" s="3">
        <f>VLOOKUP(A455,[4]fnd_gfm_43298103!$B:$F,5,0)</f>
        <v>25</v>
      </c>
      <c r="G455" s="3">
        <f t="shared" si="14"/>
        <v>28</v>
      </c>
      <c r="H455" s="3">
        <f>VLOOKUP(A455,'[2]CUMP Articles'!$A:$H,8,0)</f>
        <v>397898.95056335197</v>
      </c>
      <c r="I455" s="3">
        <f t="shared" si="15"/>
        <v>11141170.615773855</v>
      </c>
      <c r="J455" s="3" t="str">
        <f>VLOOKUP(A455,'[3]Stock actif'!$A:$K,10,0)</f>
        <v>Oui</v>
      </c>
      <c r="K455" s="3" t="str">
        <f>VLOOKUP(A455,'[3]Stock actif'!$A:$K,11,0)</f>
        <v>Cisco</v>
      </c>
    </row>
    <row r="456" spans="1:11" x14ac:dyDescent="0.35">
      <c r="A456" s="3">
        <v>31011</v>
      </c>
      <c r="B456" s="3" t="s">
        <v>453</v>
      </c>
      <c r="C456" s="3" t="s">
        <v>4</v>
      </c>
      <c r="D456" s="3" t="s">
        <v>5</v>
      </c>
      <c r="E456" s="3"/>
      <c r="F456" s="3">
        <f>VLOOKUP(A456,[4]fnd_gfm_43298103!$B:$F,5,0)</f>
        <v>8</v>
      </c>
      <c r="G456" s="3">
        <f t="shared" si="14"/>
        <v>8</v>
      </c>
      <c r="H456" s="3">
        <f>VLOOKUP(A456,'[2]CUMP Articles'!$A:$H,8,0)</f>
        <v>171468.90380913901</v>
      </c>
      <c r="I456" s="3">
        <f t="shared" si="15"/>
        <v>1371751.2304731121</v>
      </c>
      <c r="J456" s="3" t="str">
        <f>VLOOKUP(A456,'[3]Stock actif'!$A:$K,10,0)</f>
        <v>Oui</v>
      </c>
      <c r="K456" s="3" t="str">
        <f>VLOOKUP(A456,'[3]Stock actif'!$A:$K,11,0)</f>
        <v>Alcatel-Lucent</v>
      </c>
    </row>
    <row r="457" spans="1:11" x14ac:dyDescent="0.35">
      <c r="A457" s="3">
        <v>31012</v>
      </c>
      <c r="B457" s="3" t="s">
        <v>454</v>
      </c>
      <c r="C457" s="3" t="s">
        <v>4</v>
      </c>
      <c r="D457" s="3" t="s">
        <v>5</v>
      </c>
      <c r="E457" s="3"/>
      <c r="F457" s="3">
        <f>VLOOKUP(A457,[4]fnd_gfm_43298103!$B:$F,5,0)</f>
        <v>3</v>
      </c>
      <c r="G457" s="3">
        <f t="shared" si="14"/>
        <v>3</v>
      </c>
      <c r="H457" s="3">
        <f>VLOOKUP(A457,'[2]CUMP Articles'!$A:$H,8,0)</f>
        <v>195705</v>
      </c>
      <c r="I457" s="3">
        <f t="shared" si="15"/>
        <v>587115</v>
      </c>
      <c r="J457" s="3" t="str">
        <f>VLOOKUP(A457,'[3]Stock actif'!$A:$K,10,0)</f>
        <v>Oui</v>
      </c>
      <c r="K457" s="3" t="str">
        <f>VLOOKUP(A457,'[3]Stock actif'!$A:$K,11,0)</f>
        <v>Alcatel-Lucent</v>
      </c>
    </row>
    <row r="458" spans="1:11" x14ac:dyDescent="0.35">
      <c r="A458" s="3">
        <v>31054</v>
      </c>
      <c r="B458" s="3" t="s">
        <v>455</v>
      </c>
      <c r="C458" s="3" t="s">
        <v>4</v>
      </c>
      <c r="D458" s="3" t="s">
        <v>5</v>
      </c>
      <c r="E458" s="3">
        <f>VLOOKUP(A458,[1]fnd_gfm_43298102!$B:$F,5,0)</f>
        <v>4</v>
      </c>
      <c r="F458" s="3"/>
      <c r="G458" s="3">
        <f t="shared" si="14"/>
        <v>4</v>
      </c>
      <c r="H458" s="3">
        <f>VLOOKUP(A458,'[2]CUMP Articles'!$A:$H,8,0)</f>
        <v>4250.6013599999997</v>
      </c>
      <c r="I458" s="3">
        <f t="shared" si="15"/>
        <v>17002.405439999999</v>
      </c>
      <c r="J458" s="3" t="str">
        <f>VLOOKUP(A458,'[3]Stock actif'!$A:$K,10,0)</f>
        <v>Oui</v>
      </c>
      <c r="K458" s="3" t="str">
        <f>VLOOKUP(A458,'[3]Stock actif'!$A:$K,11,0)</f>
        <v>Alcatel-Lucent</v>
      </c>
    </row>
    <row r="459" spans="1:11" x14ac:dyDescent="0.35">
      <c r="A459" s="3">
        <v>31056</v>
      </c>
      <c r="B459" s="3" t="s">
        <v>456</v>
      </c>
      <c r="C459" s="3" t="s">
        <v>4</v>
      </c>
      <c r="D459" s="3" t="s">
        <v>5</v>
      </c>
      <c r="E459" s="3"/>
      <c r="F459" s="3">
        <f>VLOOKUP(A459,[4]fnd_gfm_43298103!$B:$F,5,0)</f>
        <v>1</v>
      </c>
      <c r="G459" s="3">
        <f t="shared" si="14"/>
        <v>1</v>
      </c>
      <c r="H459" s="3">
        <f>VLOOKUP(A459,'[2]CUMP Articles'!$A:$H,8,0)</f>
        <v>200000</v>
      </c>
      <c r="I459" s="3">
        <f t="shared" si="15"/>
        <v>200000</v>
      </c>
      <c r="J459" s="3" t="str">
        <f>VLOOKUP(A459,'[3]Stock actif'!$A:$K,10,0)</f>
        <v>Non</v>
      </c>
      <c r="K459" s="3" t="str">
        <f>VLOOKUP(A459,'[3]Stock actif'!$A:$K,11,0)</f>
        <v>Générique</v>
      </c>
    </row>
    <row r="460" spans="1:11" x14ac:dyDescent="0.35">
      <c r="A460" s="3">
        <v>31153</v>
      </c>
      <c r="B460" s="3" t="s">
        <v>457</v>
      </c>
      <c r="C460" s="3" t="s">
        <v>4</v>
      </c>
      <c r="D460" s="3" t="s">
        <v>5</v>
      </c>
      <c r="E460" s="3"/>
      <c r="F460" s="3">
        <f>VLOOKUP(A460,[4]fnd_gfm_43298103!$B:$F,5,0)</f>
        <v>5</v>
      </c>
      <c r="G460" s="3">
        <f t="shared" si="14"/>
        <v>5</v>
      </c>
      <c r="H460" s="3">
        <f>VLOOKUP(A460,'[2]CUMP Articles'!$A:$H,8,0)</f>
        <v>40145</v>
      </c>
      <c r="I460" s="3">
        <f t="shared" si="15"/>
        <v>200725</v>
      </c>
      <c r="J460" s="3" t="str">
        <f>VLOOKUP(A460,'[3]Stock actif'!$A:$K,10,0)</f>
        <v>Oui</v>
      </c>
      <c r="K460" s="3" t="str">
        <f>VLOOKUP(A460,'[3]Stock actif'!$A:$K,11,0)</f>
        <v>Alcatel-Lucent</v>
      </c>
    </row>
    <row r="461" spans="1:11" x14ac:dyDescent="0.35">
      <c r="A461" s="3">
        <v>31168</v>
      </c>
      <c r="B461" s="3" t="s">
        <v>458</v>
      </c>
      <c r="C461" s="3" t="s">
        <v>4</v>
      </c>
      <c r="D461" s="3" t="s">
        <v>5</v>
      </c>
      <c r="E461" s="3">
        <f>VLOOKUP(A461,[1]fnd_gfm_43298102!$B:$F,5,0)</f>
        <v>2</v>
      </c>
      <c r="F461" s="3">
        <f>VLOOKUP(A461,[4]fnd_gfm_43298103!$B:$F,5,0)</f>
        <v>7</v>
      </c>
      <c r="G461" s="3">
        <f t="shared" si="14"/>
        <v>9</v>
      </c>
      <c r="H461" s="3">
        <f>VLOOKUP(A461,'[2]CUMP Articles'!$A:$H,8,0)</f>
        <v>34635</v>
      </c>
      <c r="I461" s="3">
        <f t="shared" si="15"/>
        <v>311715</v>
      </c>
      <c r="J461" s="3" t="str">
        <f>VLOOKUP(A461,'[3]Stock actif'!$A:$K,10,0)</f>
        <v>Oui</v>
      </c>
      <c r="K461" s="3" t="str">
        <f>VLOOKUP(A461,'[3]Stock actif'!$A:$K,11,0)</f>
        <v>Générique</v>
      </c>
    </row>
    <row r="462" spans="1:11" x14ac:dyDescent="0.35">
      <c r="A462" s="3">
        <v>31169</v>
      </c>
      <c r="B462" s="3" t="s">
        <v>459</v>
      </c>
      <c r="C462" s="3" t="s">
        <v>4</v>
      </c>
      <c r="D462" s="3" t="s">
        <v>5</v>
      </c>
      <c r="E462" s="3">
        <f>VLOOKUP(A462,[1]fnd_gfm_43298102!$B:$F,5,0)</f>
        <v>2</v>
      </c>
      <c r="F462" s="3">
        <f>VLOOKUP(A462,[4]fnd_gfm_43298103!$B:$F,5,0)</f>
        <v>5</v>
      </c>
      <c r="G462" s="3">
        <f t="shared" si="14"/>
        <v>7</v>
      </c>
      <c r="H462" s="3">
        <f>VLOOKUP(A462,'[2]CUMP Articles'!$A:$H,8,0)</f>
        <v>84855</v>
      </c>
      <c r="I462" s="3">
        <f t="shared" si="15"/>
        <v>593985</v>
      </c>
      <c r="J462" s="3" t="str">
        <f>VLOOKUP(A462,'[3]Stock actif'!$A:$K,10,0)</f>
        <v>Oui</v>
      </c>
      <c r="K462" s="3" t="str">
        <f>VLOOKUP(A462,'[3]Stock actif'!$A:$K,11,0)</f>
        <v>Générique</v>
      </c>
    </row>
    <row r="463" spans="1:11" x14ac:dyDescent="0.35">
      <c r="A463" s="3">
        <v>31225</v>
      </c>
      <c r="B463" s="3" t="s">
        <v>460</v>
      </c>
      <c r="C463" s="3" t="s">
        <v>4</v>
      </c>
      <c r="D463" s="3" t="s">
        <v>5</v>
      </c>
      <c r="E463" s="3"/>
      <c r="F463" s="3">
        <f>VLOOKUP(A463,[4]fnd_gfm_43298103!$B:$F,5,0)</f>
        <v>13</v>
      </c>
      <c r="G463" s="3">
        <f t="shared" si="14"/>
        <v>13</v>
      </c>
      <c r="H463" s="3">
        <f>VLOOKUP(A463,'[2]CUMP Articles'!$A:$H,8,0)</f>
        <v>53315.494478947301</v>
      </c>
      <c r="I463" s="3">
        <f t="shared" si="15"/>
        <v>693101.42822631495</v>
      </c>
      <c r="J463" s="3" t="str">
        <f>VLOOKUP(A463,'[3]Stock actif'!$A:$K,10,0)</f>
        <v>Oui</v>
      </c>
      <c r="K463" s="3" t="str">
        <f>VLOOKUP(A463,'[3]Stock actif'!$A:$K,11,0)</f>
        <v>Alcatel-Lucent</v>
      </c>
    </row>
    <row r="464" spans="1:11" x14ac:dyDescent="0.35">
      <c r="A464" s="3">
        <v>31236</v>
      </c>
      <c r="B464" s="3" t="s">
        <v>461</v>
      </c>
      <c r="C464" s="3" t="s">
        <v>4</v>
      </c>
      <c r="D464" s="3" t="s">
        <v>5</v>
      </c>
      <c r="E464" s="3">
        <f>VLOOKUP(A464,[1]fnd_gfm_43298102!$B:$F,5,0)</f>
        <v>1</v>
      </c>
      <c r="F464" s="3">
        <f>VLOOKUP(A464,[4]fnd_gfm_43298103!$B:$F,5,0)</f>
        <v>1</v>
      </c>
      <c r="G464" s="3">
        <f t="shared" si="14"/>
        <v>2</v>
      </c>
      <c r="H464" s="3">
        <f>VLOOKUP(A464,'[2]CUMP Articles'!$A:$H,8,0)</f>
        <v>524594</v>
      </c>
      <c r="I464" s="3">
        <f t="shared" si="15"/>
        <v>1049188</v>
      </c>
      <c r="J464" s="3" t="str">
        <f>VLOOKUP(A464,'[3]Stock actif'!$A:$K,10,0)</f>
        <v>Oui</v>
      </c>
      <c r="K464" s="3" t="str">
        <f>VLOOKUP(A464,'[3]Stock actif'!$A:$K,11,0)</f>
        <v>Cisco</v>
      </c>
    </row>
    <row r="465" spans="1:11" x14ac:dyDescent="0.35">
      <c r="A465" s="3">
        <v>31278</v>
      </c>
      <c r="B465" s="3" t="s">
        <v>462</v>
      </c>
      <c r="C465" s="3" t="s">
        <v>4</v>
      </c>
      <c r="D465" s="3" t="s">
        <v>5</v>
      </c>
      <c r="E465" s="3"/>
      <c r="F465" s="3">
        <f>VLOOKUP(A465,[4]fnd_gfm_43298103!$B:$F,5,0)</f>
        <v>10</v>
      </c>
      <c r="G465" s="3">
        <f t="shared" si="14"/>
        <v>10</v>
      </c>
      <c r="H465" s="3">
        <f>VLOOKUP(A465,'[2]CUMP Articles'!$A:$H,8,0)</f>
        <v>200441</v>
      </c>
      <c r="I465" s="3">
        <f t="shared" si="15"/>
        <v>2004410</v>
      </c>
      <c r="J465" s="3" t="str">
        <f>VLOOKUP(A465,'[3]Stock actif'!$A:$K,10,0)</f>
        <v>Oui</v>
      </c>
      <c r="K465" s="3" t="str">
        <f>VLOOKUP(A465,'[3]Stock actif'!$A:$K,11,0)</f>
        <v>Alcatel-Lucent</v>
      </c>
    </row>
    <row r="466" spans="1:11" x14ac:dyDescent="0.35">
      <c r="A466" s="3">
        <v>31279</v>
      </c>
      <c r="B466" s="3" t="s">
        <v>463</v>
      </c>
      <c r="C466" s="3" t="s">
        <v>4</v>
      </c>
      <c r="D466" s="3" t="s">
        <v>5</v>
      </c>
      <c r="E466" s="3"/>
      <c r="F466" s="3">
        <f>VLOOKUP(A466,[4]fnd_gfm_43298103!$B:$F,5,0)</f>
        <v>7</v>
      </c>
      <c r="G466" s="3">
        <f t="shared" si="14"/>
        <v>7</v>
      </c>
      <c r="H466" s="3">
        <f>VLOOKUP(A466,'[2]CUMP Articles'!$A:$H,8,0)</f>
        <v>170372</v>
      </c>
      <c r="I466" s="3">
        <f t="shared" si="15"/>
        <v>1192604</v>
      </c>
      <c r="J466" s="3" t="str">
        <f>VLOOKUP(A466,'[3]Stock actif'!$A:$K,10,0)</f>
        <v>Oui</v>
      </c>
      <c r="K466" s="3" t="str">
        <f>VLOOKUP(A466,'[3]Stock actif'!$A:$K,11,0)</f>
        <v>Alcatel-Lucent</v>
      </c>
    </row>
    <row r="467" spans="1:11" x14ac:dyDescent="0.35">
      <c r="A467" s="3">
        <v>31280</v>
      </c>
      <c r="B467" s="3" t="s">
        <v>464</v>
      </c>
      <c r="C467" s="3" t="s">
        <v>4</v>
      </c>
      <c r="D467" s="3" t="s">
        <v>5</v>
      </c>
      <c r="E467" s="3"/>
      <c r="F467" s="3">
        <f>VLOOKUP(A467,[4]fnd_gfm_43298103!$B:$F,5,0)</f>
        <v>30</v>
      </c>
      <c r="G467" s="3">
        <f t="shared" si="14"/>
        <v>30</v>
      </c>
      <c r="H467" s="3">
        <f>VLOOKUP(A467,'[2]CUMP Articles'!$A:$H,8,0)</f>
        <v>10377</v>
      </c>
      <c r="I467" s="3">
        <f t="shared" si="15"/>
        <v>311310</v>
      </c>
      <c r="J467" s="3" t="str">
        <f>VLOOKUP(A467,'[3]Stock actif'!$A:$K,10,0)</f>
        <v>Oui</v>
      </c>
      <c r="K467" s="3" t="str">
        <f>VLOOKUP(A467,'[3]Stock actif'!$A:$K,11,0)</f>
        <v>Alcatel-Lucent</v>
      </c>
    </row>
    <row r="468" spans="1:11" x14ac:dyDescent="0.35">
      <c r="A468" s="3">
        <v>31281</v>
      </c>
      <c r="B468" s="3" t="s">
        <v>465</v>
      </c>
      <c r="C468" s="3" t="s">
        <v>4</v>
      </c>
      <c r="D468" s="3" t="s">
        <v>5</v>
      </c>
      <c r="E468" s="3">
        <f>VLOOKUP(A468,[1]fnd_gfm_43298102!$B:$F,5,0)</f>
        <v>26</v>
      </c>
      <c r="F468" s="3"/>
      <c r="G468" s="3">
        <f t="shared" si="14"/>
        <v>26</v>
      </c>
      <c r="H468" s="3">
        <f>VLOOKUP(A468,'[2]CUMP Articles'!$A:$H,8,0)</f>
        <v>103988.12300000001</v>
      </c>
      <c r="I468" s="3">
        <f t="shared" si="15"/>
        <v>2703691.1980000003</v>
      </c>
      <c r="J468" s="3" t="str">
        <f>VLOOKUP(A468,'[3]Stock actif'!$A:$K,10,0)</f>
        <v>oui</v>
      </c>
      <c r="K468" s="3">
        <f>VLOOKUP(A468,'[3]Stock actif'!$A:$K,11,0)</f>
        <v>0</v>
      </c>
    </row>
    <row r="469" spans="1:11" x14ac:dyDescent="0.35">
      <c r="A469" s="3">
        <v>31285</v>
      </c>
      <c r="B469" s="3" t="s">
        <v>466</v>
      </c>
      <c r="C469" s="3" t="s">
        <v>4</v>
      </c>
      <c r="D469" s="3" t="s">
        <v>5</v>
      </c>
      <c r="E469" s="3">
        <f>VLOOKUP(A469,[1]fnd_gfm_43298102!$B:$F,5,0)</f>
        <v>2</v>
      </c>
      <c r="F469" s="3"/>
      <c r="G469" s="3">
        <f t="shared" si="14"/>
        <v>2</v>
      </c>
      <c r="H469" s="3">
        <f>VLOOKUP(A469,'[2]CUMP Articles'!$A:$H,8,0)</f>
        <v>3341717</v>
      </c>
      <c r="I469" s="3">
        <f t="shared" si="15"/>
        <v>6683434</v>
      </c>
      <c r="J469" s="3" t="str">
        <f>VLOOKUP(A469,'[3]Stock actif'!$A:$K,10,0)</f>
        <v>Oui</v>
      </c>
      <c r="K469" s="3" t="str">
        <f>VLOOKUP(A469,'[3]Stock actif'!$A:$K,11,0)</f>
        <v>Alcatel-Lucent</v>
      </c>
    </row>
    <row r="470" spans="1:11" x14ac:dyDescent="0.35">
      <c r="A470" s="3">
        <v>31286</v>
      </c>
      <c r="B470" s="3" t="s">
        <v>467</v>
      </c>
      <c r="C470" s="3" t="s">
        <v>4</v>
      </c>
      <c r="D470" s="3" t="s">
        <v>5</v>
      </c>
      <c r="E470" s="3">
        <f>VLOOKUP(A470,[1]fnd_gfm_43298102!$B:$F,5,0)</f>
        <v>3</v>
      </c>
      <c r="F470" s="3">
        <f>VLOOKUP(A470,[4]fnd_gfm_43298103!$B:$F,5,0)</f>
        <v>21</v>
      </c>
      <c r="G470" s="3">
        <f t="shared" si="14"/>
        <v>24</v>
      </c>
      <c r="H470" s="3">
        <f>VLOOKUP(A470,'[2]CUMP Articles'!$A:$H,8,0)</f>
        <v>127248.72463677201</v>
      </c>
      <c r="I470" s="3">
        <f t="shared" si="15"/>
        <v>3053969.3912825282</v>
      </c>
      <c r="J470" s="3" t="str">
        <f>VLOOKUP(A470,'[3]Stock actif'!$A:$K,10,0)</f>
        <v>Oui</v>
      </c>
      <c r="K470" s="3" t="str">
        <f>VLOOKUP(A470,'[3]Stock actif'!$A:$K,11,0)</f>
        <v>Alcatel-Lucent</v>
      </c>
    </row>
    <row r="471" spans="1:11" x14ac:dyDescent="0.35">
      <c r="A471" s="3">
        <v>31287</v>
      </c>
      <c r="B471" s="3" t="s">
        <v>468</v>
      </c>
      <c r="C471" s="3" t="s">
        <v>4</v>
      </c>
      <c r="D471" s="3" t="s">
        <v>5</v>
      </c>
      <c r="E471" s="3">
        <f>VLOOKUP(A471,[1]fnd_gfm_43298102!$B:$F,5,0)</f>
        <v>2</v>
      </c>
      <c r="F471" s="3"/>
      <c r="G471" s="3">
        <f t="shared" si="14"/>
        <v>2</v>
      </c>
      <c r="H471" s="3">
        <f>VLOOKUP(A471,'[2]CUMP Articles'!$A:$H,8,0)</f>
        <v>1524903</v>
      </c>
      <c r="I471" s="3">
        <f t="shared" si="15"/>
        <v>3049806</v>
      </c>
      <c r="J471" s="3" t="str">
        <f>VLOOKUP(A471,'[3]Stock actif'!$A:$K,10,0)</f>
        <v>Oui</v>
      </c>
      <c r="K471" s="3" t="str">
        <f>VLOOKUP(A471,'[3]Stock actif'!$A:$K,11,0)</f>
        <v>Alcatel-Lucent</v>
      </c>
    </row>
    <row r="472" spans="1:11" x14ac:dyDescent="0.35">
      <c r="A472" s="3">
        <v>31288</v>
      </c>
      <c r="B472" s="3" t="s">
        <v>469</v>
      </c>
      <c r="C472" s="3" t="s">
        <v>4</v>
      </c>
      <c r="D472" s="3" t="s">
        <v>5</v>
      </c>
      <c r="E472" s="3">
        <f>VLOOKUP(A472,[1]fnd_gfm_43298102!$B:$F,5,0)</f>
        <v>5</v>
      </c>
      <c r="F472" s="3"/>
      <c r="G472" s="3">
        <f t="shared" si="14"/>
        <v>5</v>
      </c>
      <c r="H472" s="3">
        <f>VLOOKUP(A472,'[2]CUMP Articles'!$A:$H,8,0)</f>
        <v>205094.237728571</v>
      </c>
      <c r="I472" s="3">
        <f t="shared" si="15"/>
        <v>1025471.188642855</v>
      </c>
      <c r="J472" s="3" t="str">
        <f>VLOOKUP(A472,'[3]Stock actif'!$A:$K,10,0)</f>
        <v>Oui</v>
      </c>
      <c r="K472" s="3" t="str">
        <f>VLOOKUP(A472,'[3]Stock actif'!$A:$K,11,0)</f>
        <v>Alcatel-Lucent</v>
      </c>
    </row>
    <row r="473" spans="1:11" x14ac:dyDescent="0.35">
      <c r="A473" s="3">
        <v>31290</v>
      </c>
      <c r="B473" s="3" t="s">
        <v>470</v>
      </c>
      <c r="C473" s="3" t="s">
        <v>4</v>
      </c>
      <c r="D473" s="3" t="s">
        <v>5</v>
      </c>
      <c r="E473" s="3">
        <f>VLOOKUP(A473,[1]fnd_gfm_43298102!$B:$F,5,0)</f>
        <v>5</v>
      </c>
      <c r="F473" s="3">
        <f>VLOOKUP(A473,[4]fnd_gfm_43298103!$B:$F,5,0)</f>
        <v>79</v>
      </c>
      <c r="G473" s="3">
        <f t="shared" si="14"/>
        <v>84</v>
      </c>
      <c r="H473" s="3">
        <f>VLOOKUP(A473,'[2]CUMP Articles'!$A:$H,8,0)</f>
        <v>71932.538332089505</v>
      </c>
      <c r="I473" s="3">
        <f t="shared" si="15"/>
        <v>6042333.2198955184</v>
      </c>
      <c r="J473" s="3" t="str">
        <f>VLOOKUP(A473,'[3]Stock actif'!$A:$K,10,0)</f>
        <v>Oui</v>
      </c>
      <c r="K473" s="3" t="str">
        <f>VLOOKUP(A473,'[3]Stock actif'!$A:$K,11,0)</f>
        <v>Alcatel-Lucent</v>
      </c>
    </row>
    <row r="474" spans="1:11" x14ac:dyDescent="0.35">
      <c r="A474" s="3">
        <v>31291</v>
      </c>
      <c r="B474" s="3" t="s">
        <v>471</v>
      </c>
      <c r="C474" s="3" t="s">
        <v>4</v>
      </c>
      <c r="D474" s="3" t="s">
        <v>5</v>
      </c>
      <c r="E474" s="3">
        <f>VLOOKUP(A474,[1]fnd_gfm_43298102!$B:$F,5,0)</f>
        <v>12</v>
      </c>
      <c r="F474" s="3">
        <f>VLOOKUP(A474,[4]fnd_gfm_43298103!$B:$F,5,0)</f>
        <v>15</v>
      </c>
      <c r="G474" s="3">
        <f t="shared" si="14"/>
        <v>27</v>
      </c>
      <c r="H474" s="3">
        <f>VLOOKUP(A474,'[2]CUMP Articles'!$A:$H,8,0)</f>
        <v>151050.49817499999</v>
      </c>
      <c r="I474" s="3">
        <f t="shared" si="15"/>
        <v>4078363.4507249994</v>
      </c>
      <c r="J474" s="3" t="str">
        <f>VLOOKUP(A474,'[3]Stock actif'!$A:$K,10,0)</f>
        <v>Oui</v>
      </c>
      <c r="K474" s="3" t="str">
        <f>VLOOKUP(A474,'[3]Stock actif'!$A:$K,11,0)</f>
        <v>Alcatel-Lucent</v>
      </c>
    </row>
    <row r="475" spans="1:11" x14ac:dyDescent="0.35">
      <c r="A475" s="3">
        <v>31292</v>
      </c>
      <c r="B475" s="3" t="s">
        <v>472</v>
      </c>
      <c r="C475" s="3" t="s">
        <v>4</v>
      </c>
      <c r="D475" s="3" t="s">
        <v>5</v>
      </c>
      <c r="E475" s="3">
        <f>VLOOKUP(A475,[1]fnd_gfm_43298102!$B:$F,5,0)</f>
        <v>13</v>
      </c>
      <c r="F475" s="3">
        <f>VLOOKUP(A475,[4]fnd_gfm_43298103!$B:$F,5,0)</f>
        <v>41</v>
      </c>
      <c r="G475" s="3">
        <f t="shared" si="14"/>
        <v>54</v>
      </c>
      <c r="H475" s="3">
        <f>VLOOKUP(A475,'[2]CUMP Articles'!$A:$H,8,0)</f>
        <v>61564.174758677502</v>
      </c>
      <c r="I475" s="3">
        <f t="shared" si="15"/>
        <v>3324465.436968585</v>
      </c>
      <c r="J475" s="3" t="str">
        <f>VLOOKUP(A475,'[3]Stock actif'!$A:$K,10,0)</f>
        <v>Oui</v>
      </c>
      <c r="K475" s="3" t="str">
        <f>VLOOKUP(A475,'[3]Stock actif'!$A:$K,11,0)</f>
        <v>Alcatel-Lucent</v>
      </c>
    </row>
    <row r="476" spans="1:11" x14ac:dyDescent="0.35">
      <c r="A476" s="3">
        <v>31293</v>
      </c>
      <c r="B476" s="3" t="s">
        <v>473</v>
      </c>
      <c r="C476" s="3" t="s">
        <v>4</v>
      </c>
      <c r="D476" s="3" t="s">
        <v>5</v>
      </c>
      <c r="E476" s="3">
        <f>VLOOKUP(A476,[1]fnd_gfm_43298102!$B:$F,5,0)</f>
        <v>13</v>
      </c>
      <c r="F476" s="3">
        <f>VLOOKUP(A476,[4]fnd_gfm_43298103!$B:$F,5,0)</f>
        <v>54</v>
      </c>
      <c r="G476" s="3">
        <f t="shared" si="14"/>
        <v>67</v>
      </c>
      <c r="H476" s="3">
        <f>VLOOKUP(A476,'[2]CUMP Articles'!$A:$H,8,0)</f>
        <v>93591.558902941106</v>
      </c>
      <c r="I476" s="3">
        <f t="shared" si="15"/>
        <v>6270634.4464970538</v>
      </c>
      <c r="J476" s="3" t="str">
        <f>VLOOKUP(A476,'[3]Stock actif'!$A:$K,10,0)</f>
        <v>Oui</v>
      </c>
      <c r="K476" s="3" t="str">
        <f>VLOOKUP(A476,'[3]Stock actif'!$A:$K,11,0)</f>
        <v>Alcatel-Lucent</v>
      </c>
    </row>
    <row r="477" spans="1:11" x14ac:dyDescent="0.35">
      <c r="A477" s="3">
        <v>31299</v>
      </c>
      <c r="B477" s="3" t="s">
        <v>474</v>
      </c>
      <c r="C477" s="3" t="s">
        <v>4</v>
      </c>
      <c r="D477" s="3" t="s">
        <v>5</v>
      </c>
      <c r="E477" s="3"/>
      <c r="F477" s="3">
        <f>VLOOKUP(A477,[4]fnd_gfm_43298103!$B:$F,5,0)</f>
        <v>34</v>
      </c>
      <c r="G477" s="3">
        <f t="shared" si="14"/>
        <v>34</v>
      </c>
      <c r="H477" s="3">
        <f>VLOOKUP(A477,'[2]CUMP Articles'!$A:$H,8,0)</f>
        <v>213330.33554</v>
      </c>
      <c r="I477" s="3">
        <f t="shared" si="15"/>
        <v>7253231.4083599998</v>
      </c>
      <c r="J477" s="3" t="str">
        <f>VLOOKUP(A477,'[3]Stock actif'!$A:$K,10,0)</f>
        <v>Oui</v>
      </c>
      <c r="K477" s="3" t="str">
        <f>VLOOKUP(A477,'[3]Stock actif'!$A:$K,11,0)</f>
        <v>Alcatel-Lucent</v>
      </c>
    </row>
    <row r="478" spans="1:11" x14ac:dyDescent="0.35">
      <c r="A478" s="3">
        <v>31300</v>
      </c>
      <c r="B478" s="3" t="s">
        <v>475</v>
      </c>
      <c r="C478" s="3" t="s">
        <v>4</v>
      </c>
      <c r="D478" s="3" t="s">
        <v>5</v>
      </c>
      <c r="E478" s="3">
        <f>VLOOKUP(A478,[1]fnd_gfm_43298102!$B:$F,5,0)</f>
        <v>2</v>
      </c>
      <c r="F478" s="3">
        <f>VLOOKUP(A478,[4]fnd_gfm_43298103!$B:$F,5,0)</f>
        <v>5</v>
      </c>
      <c r="G478" s="3">
        <f t="shared" si="14"/>
        <v>7</v>
      </c>
      <c r="H478" s="3">
        <f>VLOOKUP(A478,'[2]CUMP Articles'!$A:$H,8,0)</f>
        <v>24405.973446666601</v>
      </c>
      <c r="I478" s="3">
        <f t="shared" si="15"/>
        <v>170841.8141266662</v>
      </c>
      <c r="J478" s="3" t="str">
        <f>VLOOKUP(A478,'[3]Stock actif'!$A:$K,10,0)</f>
        <v>Oui</v>
      </c>
      <c r="K478" s="3" t="str">
        <f>VLOOKUP(A478,'[3]Stock actif'!$A:$K,11,0)</f>
        <v>Grandstream</v>
      </c>
    </row>
    <row r="479" spans="1:11" x14ac:dyDescent="0.35">
      <c r="A479" s="3">
        <v>31301</v>
      </c>
      <c r="B479" s="3" t="s">
        <v>476</v>
      </c>
      <c r="C479" s="3" t="s">
        <v>4</v>
      </c>
      <c r="D479" s="3" t="s">
        <v>5</v>
      </c>
      <c r="E479" s="3">
        <f>VLOOKUP(A479,[1]fnd_gfm_43298102!$B:$F,5,0)</f>
        <v>5</v>
      </c>
      <c r="F479" s="3"/>
      <c r="G479" s="3">
        <f t="shared" si="14"/>
        <v>5</v>
      </c>
      <c r="H479" s="3">
        <f>VLOOKUP(A479,'[2]CUMP Articles'!$A:$H,8,0)</f>
        <v>97914.701390000002</v>
      </c>
      <c r="I479" s="3">
        <f t="shared" si="15"/>
        <v>489573.50695000001</v>
      </c>
      <c r="J479" s="3" t="str">
        <f>VLOOKUP(A479,'[3]Stock actif'!$A:$K,10,0)</f>
        <v>oui</v>
      </c>
      <c r="K479" s="3" t="str">
        <f>VLOOKUP(A479,'[3]Stock actif'!$A:$K,11,0)</f>
        <v>Alcatel-Lucent</v>
      </c>
    </row>
    <row r="480" spans="1:11" x14ac:dyDescent="0.35">
      <c r="A480" s="3">
        <v>31305</v>
      </c>
      <c r="B480" s="3" t="s">
        <v>477</v>
      </c>
      <c r="C480" s="3" t="s">
        <v>4</v>
      </c>
      <c r="D480" s="3" t="s">
        <v>5</v>
      </c>
      <c r="E480" s="3">
        <f>VLOOKUP(A480,[1]fnd_gfm_43298102!$B:$F,5,0)</f>
        <v>5</v>
      </c>
      <c r="F480" s="3"/>
      <c r="G480" s="3">
        <f t="shared" si="14"/>
        <v>5</v>
      </c>
      <c r="H480" s="3">
        <f>VLOOKUP(A480,'[2]CUMP Articles'!$A:$H,8,0)</f>
        <v>819946.25</v>
      </c>
      <c r="I480" s="3">
        <f t="shared" si="15"/>
        <v>4099731.25</v>
      </c>
      <c r="J480" s="3" t="str">
        <f>VLOOKUP(A480,'[3]Stock actif'!$A:$K,10,0)</f>
        <v>oui</v>
      </c>
      <c r="K480" s="3" t="str">
        <f>VLOOKUP(A480,'[3]Stock actif'!$A:$K,11,0)</f>
        <v>Alcatel-Lucent</v>
      </c>
    </row>
    <row r="481" spans="1:11" x14ac:dyDescent="0.35">
      <c r="A481" s="3">
        <v>31307</v>
      </c>
      <c r="B481" s="3" t="s">
        <v>478</v>
      </c>
      <c r="C481" s="3" t="s">
        <v>4</v>
      </c>
      <c r="D481" s="3" t="s">
        <v>5</v>
      </c>
      <c r="E481" s="3">
        <f>VLOOKUP(A481,[1]fnd_gfm_43298102!$B:$F,5,0)</f>
        <v>40</v>
      </c>
      <c r="F481" s="3">
        <f>VLOOKUP(A481,[4]fnd_gfm_43298103!$B:$F,5,0)</f>
        <v>880</v>
      </c>
      <c r="G481" s="3">
        <f t="shared" si="14"/>
        <v>920</v>
      </c>
      <c r="H481" s="3">
        <f>VLOOKUP(A481,'[2]CUMP Articles'!$A:$H,8,0)</f>
        <v>7535.3012398928504</v>
      </c>
      <c r="I481" s="3">
        <f t="shared" si="15"/>
        <v>6932477.1407014225</v>
      </c>
      <c r="J481" s="3" t="str">
        <f>VLOOKUP(A481,'[3]Stock actif'!$A:$K,10,0)</f>
        <v>Non</v>
      </c>
      <c r="K481" s="3" t="str">
        <f>VLOOKUP(A481,'[3]Stock actif'!$A:$K,11,0)</f>
        <v>Legrand</v>
      </c>
    </row>
    <row r="482" spans="1:11" x14ac:dyDescent="0.35">
      <c r="A482" s="3">
        <v>31308</v>
      </c>
      <c r="B482" s="3" t="s">
        <v>479</v>
      </c>
      <c r="C482" s="3" t="s">
        <v>4</v>
      </c>
      <c r="D482" s="3" t="s">
        <v>5</v>
      </c>
      <c r="E482" s="3"/>
      <c r="F482" s="3">
        <f>VLOOKUP(A482,[4]fnd_gfm_43298103!$B:$F,5,0)</f>
        <v>200</v>
      </c>
      <c r="G482" s="3">
        <f t="shared" si="14"/>
        <v>200</v>
      </c>
      <c r="H482" s="3">
        <f>VLOOKUP(A482,'[2]CUMP Articles'!$A:$H,8,0)</f>
        <v>1878.1807802548101</v>
      </c>
      <c r="I482" s="3">
        <f t="shared" si="15"/>
        <v>375636.15605096205</v>
      </c>
      <c r="J482" s="3" t="str">
        <f>VLOOKUP(A482,'[3]Stock actif'!$A:$K,10,0)</f>
        <v>Non</v>
      </c>
      <c r="K482" s="3" t="str">
        <f>VLOOKUP(A482,'[3]Stock actif'!$A:$K,11,0)</f>
        <v>Générique</v>
      </c>
    </row>
    <row r="483" spans="1:11" x14ac:dyDescent="0.35">
      <c r="A483" s="3">
        <v>31309</v>
      </c>
      <c r="B483" s="3" t="s">
        <v>480</v>
      </c>
      <c r="C483" s="3" t="s">
        <v>4</v>
      </c>
      <c r="D483" s="3" t="s">
        <v>5</v>
      </c>
      <c r="E483" s="3"/>
      <c r="F483" s="3">
        <f>VLOOKUP(A483,[4]fnd_gfm_43298103!$B:$F,5,0)</f>
        <v>240</v>
      </c>
      <c r="G483" s="3">
        <f t="shared" si="14"/>
        <v>240</v>
      </c>
      <c r="H483" s="3">
        <f>VLOOKUP(A483,'[2]CUMP Articles'!$A:$H,8,0)</f>
        <v>1851.44259927797</v>
      </c>
      <c r="I483" s="3">
        <f t="shared" si="15"/>
        <v>444346.22382671281</v>
      </c>
      <c r="J483" s="3" t="str">
        <f>VLOOKUP(A483,'[3]Stock actif'!$A:$K,10,0)</f>
        <v>Non</v>
      </c>
      <c r="K483" s="3" t="str">
        <f>VLOOKUP(A483,'[3]Stock actif'!$A:$K,11,0)</f>
        <v>Legrand</v>
      </c>
    </row>
    <row r="484" spans="1:11" x14ac:dyDescent="0.35">
      <c r="A484" s="3">
        <v>31310</v>
      </c>
      <c r="B484" s="3" t="s">
        <v>481</v>
      </c>
      <c r="C484" s="3" t="s">
        <v>4</v>
      </c>
      <c r="D484" s="3" t="s">
        <v>5</v>
      </c>
      <c r="E484" s="3">
        <f>VLOOKUP(A484,[1]fnd_gfm_43298102!$B:$F,5,0)</f>
        <v>161</v>
      </c>
      <c r="F484" s="3">
        <f>VLOOKUP(A484,[4]fnd_gfm_43298103!$B:$F,5,0)</f>
        <v>194</v>
      </c>
      <c r="G484" s="3">
        <f t="shared" si="14"/>
        <v>355</v>
      </c>
      <c r="H484" s="3">
        <f>VLOOKUP(A484,'[2]CUMP Articles'!$A:$H,8,0)</f>
        <v>832.77374967495302</v>
      </c>
      <c r="I484" s="3">
        <f t="shared" si="15"/>
        <v>295634.68113460834</v>
      </c>
      <c r="J484" s="3" t="str">
        <f>VLOOKUP(A484,'[3]Stock actif'!$A:$K,10,0)</f>
        <v>Non</v>
      </c>
      <c r="K484" s="3" t="str">
        <f>VLOOKUP(A484,'[3]Stock actif'!$A:$K,11,0)</f>
        <v>Générique</v>
      </c>
    </row>
    <row r="485" spans="1:11" x14ac:dyDescent="0.35">
      <c r="A485" s="3">
        <v>31331</v>
      </c>
      <c r="B485" s="3" t="s">
        <v>482</v>
      </c>
      <c r="C485" s="3" t="s">
        <v>4</v>
      </c>
      <c r="D485" s="3" t="s">
        <v>5</v>
      </c>
      <c r="E485" s="3"/>
      <c r="F485" s="3">
        <f>VLOOKUP(A485,[4]fnd_gfm_43298103!$B:$F,5,0)</f>
        <v>5</v>
      </c>
      <c r="G485" s="3">
        <f t="shared" si="14"/>
        <v>5</v>
      </c>
      <c r="H485" s="3">
        <f>VLOOKUP(A485,'[2]CUMP Articles'!$A:$H,8,0)</f>
        <v>11281.9945668778</v>
      </c>
      <c r="I485" s="3">
        <f t="shared" si="15"/>
        <v>56409.972834389002</v>
      </c>
      <c r="J485" s="3" t="str">
        <f>VLOOKUP(A485,'[3]Stock actif'!$A:$K,10,0)</f>
        <v>Oui</v>
      </c>
      <c r="K485" s="3" t="str">
        <f>VLOOKUP(A485,'[3]Stock actif'!$A:$K,11,0)</f>
        <v>Alcatel-Lucent</v>
      </c>
    </row>
    <row r="486" spans="1:11" x14ac:dyDescent="0.35">
      <c r="A486" s="3">
        <v>31517</v>
      </c>
      <c r="B486" s="3" t="s">
        <v>483</v>
      </c>
      <c r="C486" s="3" t="s">
        <v>4</v>
      </c>
      <c r="D486" s="3" t="s">
        <v>5</v>
      </c>
      <c r="E486" s="3">
        <f>VLOOKUP(A486,[1]fnd_gfm_43298102!$B:$F,5,0)</f>
        <v>1</v>
      </c>
      <c r="F486" s="3"/>
      <c r="G486" s="3">
        <f t="shared" si="14"/>
        <v>1</v>
      </c>
      <c r="H486" s="3">
        <f>VLOOKUP(A486,'[2]CUMP Articles'!$A:$H,8,0)</f>
        <v>141031</v>
      </c>
      <c r="I486" s="3">
        <f t="shared" si="15"/>
        <v>141031</v>
      </c>
      <c r="J486" s="3" t="str">
        <f>VLOOKUP(A486,'[3]Stock actif'!$A:$K,10,0)</f>
        <v>Oui</v>
      </c>
      <c r="K486" s="3" t="str">
        <f>VLOOKUP(A486,'[3]Stock actif'!$A:$K,11,0)</f>
        <v>Générique</v>
      </c>
    </row>
    <row r="487" spans="1:11" x14ac:dyDescent="0.35">
      <c r="A487" s="3">
        <v>31519</v>
      </c>
      <c r="B487" s="3" t="s">
        <v>484</v>
      </c>
      <c r="C487" s="3" t="s">
        <v>4</v>
      </c>
      <c r="D487" s="3" t="s">
        <v>5</v>
      </c>
      <c r="E487" s="3">
        <f>VLOOKUP(A487,[1]fnd_gfm_43298102!$B:$F,5,0)</f>
        <v>50</v>
      </c>
      <c r="F487" s="3"/>
      <c r="G487" s="3">
        <f t="shared" si="14"/>
        <v>50</v>
      </c>
      <c r="H487" s="3">
        <f>VLOOKUP(A487,'[2]CUMP Articles'!$A:$H,8,0)</f>
        <v>1000</v>
      </c>
      <c r="I487" s="3">
        <f t="shared" si="15"/>
        <v>50000</v>
      </c>
      <c r="J487" s="3" t="str">
        <f>VLOOKUP(A487,'[3]Stock actif'!$A:$K,10,0)</f>
        <v>Non</v>
      </c>
      <c r="K487" s="3" t="str">
        <f>VLOOKUP(A487,'[3]Stock actif'!$A:$K,11,0)</f>
        <v>Local</v>
      </c>
    </row>
    <row r="488" spans="1:11" x14ac:dyDescent="0.35">
      <c r="A488" s="3">
        <v>31529</v>
      </c>
      <c r="B488" s="3" t="s">
        <v>485</v>
      </c>
      <c r="C488" s="3" t="s">
        <v>4</v>
      </c>
      <c r="D488" s="3" t="s">
        <v>5</v>
      </c>
      <c r="E488" s="3"/>
      <c r="F488" s="3">
        <f>VLOOKUP(A488,[4]fnd_gfm_43298103!$B:$F,5,0)</f>
        <v>100</v>
      </c>
      <c r="G488" s="3">
        <f t="shared" si="14"/>
        <v>100</v>
      </c>
      <c r="H488" s="3">
        <f>VLOOKUP(A488,'[2]CUMP Articles'!$A:$H,8,0)</f>
        <v>300</v>
      </c>
      <c r="I488" s="3">
        <f t="shared" si="15"/>
        <v>30000</v>
      </c>
      <c r="J488" s="3" t="str">
        <f>VLOOKUP(A488,'[3]Stock actif'!$A:$K,10,0)</f>
        <v>Oui</v>
      </c>
      <c r="K488" s="3" t="str">
        <f>VLOOKUP(A488,'[3]Stock actif'!$A:$K,11,0)</f>
        <v>Nexans</v>
      </c>
    </row>
    <row r="489" spans="1:11" x14ac:dyDescent="0.35">
      <c r="A489" s="3">
        <v>31531</v>
      </c>
      <c r="B489" s="3" t="s">
        <v>486</v>
      </c>
      <c r="C489" s="3" t="s">
        <v>4</v>
      </c>
      <c r="D489" s="3" t="s">
        <v>5</v>
      </c>
      <c r="E489" s="3"/>
      <c r="F489" s="3">
        <f>VLOOKUP(A489,[4]fnd_gfm_43298103!$B:$F,5,0)</f>
        <v>5</v>
      </c>
      <c r="G489" s="3">
        <f t="shared" si="14"/>
        <v>5</v>
      </c>
      <c r="H489" s="3">
        <f>VLOOKUP(A489,'[2]CUMP Articles'!$A:$H,8,0)</f>
        <v>18917.799879999999</v>
      </c>
      <c r="I489" s="3">
        <f t="shared" si="15"/>
        <v>94588.999400000001</v>
      </c>
      <c r="J489" s="3" t="str">
        <f>VLOOKUP(A489,'[3]Stock actif'!$A:$K,10,0)</f>
        <v>Oui</v>
      </c>
      <c r="K489" s="3" t="str">
        <f>VLOOKUP(A489,'[3]Stock actif'!$A:$K,11,0)</f>
        <v>Nexans</v>
      </c>
    </row>
    <row r="490" spans="1:11" x14ac:dyDescent="0.35">
      <c r="A490" s="3">
        <v>31536</v>
      </c>
      <c r="B490" s="3" t="s">
        <v>487</v>
      </c>
      <c r="C490" s="3" t="s">
        <v>4</v>
      </c>
      <c r="D490" s="3" t="s">
        <v>5</v>
      </c>
      <c r="E490" s="3">
        <f>VLOOKUP(A490,[1]fnd_gfm_43298102!$B:$F,5,0)</f>
        <v>2</v>
      </c>
      <c r="F490" s="3">
        <f>VLOOKUP(A490,[4]fnd_gfm_43298103!$B:$F,5,0)</f>
        <v>48</v>
      </c>
      <c r="G490" s="3">
        <f t="shared" si="14"/>
        <v>50</v>
      </c>
      <c r="H490" s="3">
        <f>VLOOKUP(A490,'[2]CUMP Articles'!$A:$H,8,0)</f>
        <v>25044</v>
      </c>
      <c r="I490" s="3">
        <f t="shared" si="15"/>
        <v>1252200</v>
      </c>
      <c r="J490" s="3" t="str">
        <f>VLOOKUP(A490,'[3]Stock actif'!$A:$K,10,0)</f>
        <v>Oui</v>
      </c>
      <c r="K490" s="3" t="str">
        <f>VLOOKUP(A490,'[3]Stock actif'!$A:$K,11,0)</f>
        <v>Nexans</v>
      </c>
    </row>
    <row r="491" spans="1:11" x14ac:dyDescent="0.35">
      <c r="A491" s="3">
        <v>31544</v>
      </c>
      <c r="B491" s="3" t="s">
        <v>488</v>
      </c>
      <c r="C491" s="3" t="s">
        <v>4</v>
      </c>
      <c r="D491" s="3" t="s">
        <v>5</v>
      </c>
      <c r="E491" s="3">
        <f>VLOOKUP(A491,[1]fnd_gfm_43298102!$B:$F,5,0)</f>
        <v>2</v>
      </c>
      <c r="F491" s="3"/>
      <c r="G491" s="3">
        <f t="shared" si="14"/>
        <v>2</v>
      </c>
      <c r="H491" s="3">
        <f>VLOOKUP(A491,'[2]CUMP Articles'!$A:$H,8,0)</f>
        <v>1705</v>
      </c>
      <c r="I491" s="3">
        <f t="shared" si="15"/>
        <v>3410</v>
      </c>
      <c r="J491" s="3" t="str">
        <f>VLOOKUP(A491,'[3]Stock actif'!$A:$K,10,0)</f>
        <v>Oui</v>
      </c>
      <c r="K491" s="3" t="str">
        <f>VLOOKUP(A491,'[3]Stock actif'!$A:$K,11,0)</f>
        <v>Nexans</v>
      </c>
    </row>
    <row r="492" spans="1:11" x14ac:dyDescent="0.35">
      <c r="A492" s="3">
        <v>31548</v>
      </c>
      <c r="B492" s="3" t="s">
        <v>489</v>
      </c>
      <c r="C492" s="3" t="s">
        <v>4</v>
      </c>
      <c r="D492" s="3" t="s">
        <v>5</v>
      </c>
      <c r="E492" s="3"/>
      <c r="F492" s="3">
        <f>VLOOKUP(A492,[4]fnd_gfm_43298103!$B:$F,5,0)</f>
        <v>2</v>
      </c>
      <c r="G492" s="3">
        <f t="shared" si="14"/>
        <v>2</v>
      </c>
      <c r="H492" s="3">
        <f>VLOOKUP(A492,'[2]CUMP Articles'!$A:$H,8,0)</f>
        <v>9774</v>
      </c>
      <c r="I492" s="3">
        <f t="shared" si="15"/>
        <v>19548</v>
      </c>
      <c r="J492" s="3" t="str">
        <f>VLOOKUP(A492,'[3]Stock actif'!$A:$K,10,0)</f>
        <v>Oui</v>
      </c>
      <c r="K492" s="3" t="str">
        <f>VLOOKUP(A492,'[3]Stock actif'!$A:$K,11,0)</f>
        <v>Nexans</v>
      </c>
    </row>
    <row r="493" spans="1:11" x14ac:dyDescent="0.35">
      <c r="A493" s="3">
        <v>31549</v>
      </c>
      <c r="B493" s="3" t="s">
        <v>490</v>
      </c>
      <c r="C493" s="3" t="s">
        <v>4</v>
      </c>
      <c r="D493" s="3" t="s">
        <v>5</v>
      </c>
      <c r="E493" s="3"/>
      <c r="F493" s="3">
        <f>VLOOKUP(A493,[4]fnd_gfm_43298103!$B:$F,5,0)</f>
        <v>5</v>
      </c>
      <c r="G493" s="3">
        <f t="shared" si="14"/>
        <v>5</v>
      </c>
      <c r="H493" s="3">
        <f>VLOOKUP(A493,'[2]CUMP Articles'!$A:$H,8,0)</f>
        <v>258053.41216000001</v>
      </c>
      <c r="I493" s="3">
        <f t="shared" si="15"/>
        <v>1290267.0608000001</v>
      </c>
      <c r="J493" s="3" t="str">
        <f>VLOOKUP(A493,'[3]Stock actif'!$A:$K,10,0)</f>
        <v>Oui</v>
      </c>
      <c r="K493" s="3" t="str">
        <f>VLOOKUP(A493,'[3]Stock actif'!$A:$K,11,0)</f>
        <v>Alcatel-Lucent</v>
      </c>
    </row>
    <row r="494" spans="1:11" x14ac:dyDescent="0.35">
      <c r="A494" s="3">
        <v>31552</v>
      </c>
      <c r="B494" s="3" t="s">
        <v>491</v>
      </c>
      <c r="C494" s="3" t="s">
        <v>4</v>
      </c>
      <c r="D494" s="3" t="s">
        <v>5</v>
      </c>
      <c r="E494" s="3">
        <f>VLOOKUP(A494,[1]fnd_gfm_43298102!$B:$F,5,0)</f>
        <v>8</v>
      </c>
      <c r="F494" s="3">
        <f>VLOOKUP(A494,[4]fnd_gfm_43298103!$B:$F,5,0)</f>
        <v>80</v>
      </c>
      <c r="G494" s="3">
        <f t="shared" si="14"/>
        <v>88</v>
      </c>
      <c r="H494" s="3">
        <f>VLOOKUP(A494,'[2]CUMP Articles'!$A:$H,8,0)</f>
        <v>41174.027886368502</v>
      </c>
      <c r="I494" s="3">
        <f t="shared" si="15"/>
        <v>3623314.4540004283</v>
      </c>
      <c r="J494" s="3" t="str">
        <f>VLOOKUP(A494,'[3]Stock actif'!$A:$K,10,0)</f>
        <v>Oui</v>
      </c>
      <c r="K494" s="3" t="str">
        <f>VLOOKUP(A494,'[3]Stock actif'!$A:$K,11,0)</f>
        <v>Alcatel-Lucent</v>
      </c>
    </row>
    <row r="495" spans="1:11" x14ac:dyDescent="0.35">
      <c r="A495" s="3">
        <v>31572</v>
      </c>
      <c r="B495" s="3" t="s">
        <v>492</v>
      </c>
      <c r="C495" s="3" t="s">
        <v>4</v>
      </c>
      <c r="D495" s="3" t="s">
        <v>5</v>
      </c>
      <c r="E495" s="3"/>
      <c r="F495" s="3">
        <f>VLOOKUP(A495,[4]fnd_gfm_43298103!$B:$F,5,0)</f>
        <v>6</v>
      </c>
      <c r="G495" s="3">
        <f t="shared" si="14"/>
        <v>6</v>
      </c>
      <c r="H495" s="3">
        <f>VLOOKUP(A495,'[2]CUMP Articles'!$A:$H,8,0)</f>
        <v>5000</v>
      </c>
      <c r="I495" s="3">
        <f t="shared" si="15"/>
        <v>30000</v>
      </c>
      <c r="J495" s="3" t="str">
        <f>VLOOKUP(A495,'[3]Stock actif'!$A:$K,10,0)</f>
        <v>Non</v>
      </c>
      <c r="K495" s="3" t="str">
        <f>VLOOKUP(A495,'[3]Stock actif'!$A:$K,11,0)</f>
        <v>Générique</v>
      </c>
    </row>
    <row r="496" spans="1:11" x14ac:dyDescent="0.35">
      <c r="A496" s="3">
        <v>31611</v>
      </c>
      <c r="B496" s="3" t="s">
        <v>493</v>
      </c>
      <c r="C496" s="3" t="s">
        <v>4</v>
      </c>
      <c r="D496" s="3" t="s">
        <v>5</v>
      </c>
      <c r="E496" s="3">
        <f>VLOOKUP(A496,[1]fnd_gfm_43298102!$B:$F,5,0)</f>
        <v>2</v>
      </c>
      <c r="F496" s="3">
        <f>VLOOKUP(A496,[4]fnd_gfm_43298103!$B:$F,5,0)</f>
        <v>9</v>
      </c>
      <c r="G496" s="3">
        <f t="shared" si="14"/>
        <v>11</v>
      </c>
      <c r="H496" s="3">
        <f>VLOOKUP(A496,'[2]CUMP Articles'!$A:$H,8,0)</f>
        <v>279771.65828528802</v>
      </c>
      <c r="I496" s="3">
        <f t="shared" si="15"/>
        <v>3077488.2411381681</v>
      </c>
      <c r="J496" s="3" t="str">
        <f>VLOOKUP(A496,'[3]Stock actif'!$A:$K,10,0)</f>
        <v>Oui</v>
      </c>
      <c r="K496" s="3" t="str">
        <f>VLOOKUP(A496,'[3]Stock actif'!$A:$K,11,0)</f>
        <v>Alcatel-Lucent</v>
      </c>
    </row>
    <row r="497" spans="1:11" x14ac:dyDescent="0.35">
      <c r="A497" s="3">
        <v>31612</v>
      </c>
      <c r="B497" s="3" t="s">
        <v>494</v>
      </c>
      <c r="C497" s="3" t="s">
        <v>4</v>
      </c>
      <c r="D497" s="3" t="s">
        <v>5</v>
      </c>
      <c r="E497" s="3"/>
      <c r="F497" s="3">
        <f>VLOOKUP(A497,[4]fnd_gfm_43298103!$B:$F,5,0)</f>
        <v>12</v>
      </c>
      <c r="G497" s="3">
        <f t="shared" si="14"/>
        <v>12</v>
      </c>
      <c r="H497" s="3">
        <f>VLOOKUP(A497,'[2]CUMP Articles'!$A:$H,8,0)</f>
        <v>1124063.2150000001</v>
      </c>
      <c r="I497" s="3">
        <f t="shared" si="15"/>
        <v>13488758.580000002</v>
      </c>
      <c r="J497" s="3" t="str">
        <f>VLOOKUP(A497,'[3]Stock actif'!$A:$K,10,0)</f>
        <v>Oui</v>
      </c>
      <c r="K497" s="3" t="str">
        <f>VLOOKUP(A497,'[3]Stock actif'!$A:$K,11,0)</f>
        <v>Alcatel-Lucent</v>
      </c>
    </row>
    <row r="498" spans="1:11" x14ac:dyDescent="0.35">
      <c r="A498" s="3">
        <v>31613</v>
      </c>
      <c r="B498" s="3" t="s">
        <v>495</v>
      </c>
      <c r="C498" s="3" t="s">
        <v>4</v>
      </c>
      <c r="D498" s="3" t="s">
        <v>5</v>
      </c>
      <c r="E498" s="3">
        <f>VLOOKUP(A498,[1]fnd_gfm_43298102!$B:$F,5,0)</f>
        <v>2</v>
      </c>
      <c r="F498" s="3"/>
      <c r="G498" s="3">
        <f t="shared" si="14"/>
        <v>2</v>
      </c>
      <c r="H498" s="3">
        <f>VLOOKUP(A498,'[2]CUMP Articles'!$A:$H,8,0)</f>
        <v>241819</v>
      </c>
      <c r="I498" s="3">
        <f t="shared" si="15"/>
        <v>483638</v>
      </c>
      <c r="J498" s="3" t="str">
        <f>VLOOKUP(A498,'[3]Stock actif'!$A:$K,10,0)</f>
        <v>Oui</v>
      </c>
      <c r="K498" s="3" t="str">
        <f>VLOOKUP(A498,'[3]Stock actif'!$A:$K,11,0)</f>
        <v>Alcatel-Lucent</v>
      </c>
    </row>
    <row r="499" spans="1:11" x14ac:dyDescent="0.35">
      <c r="A499" s="3">
        <v>31616</v>
      </c>
      <c r="B499" s="3" t="s">
        <v>496</v>
      </c>
      <c r="C499" s="3" t="s">
        <v>4</v>
      </c>
      <c r="D499" s="3" t="s">
        <v>5</v>
      </c>
      <c r="E499" s="3">
        <f>VLOOKUP(A499,[1]fnd_gfm_43298102!$B:$F,5,0)</f>
        <v>2948</v>
      </c>
      <c r="F499" s="3">
        <f>VLOOKUP(A499,[4]fnd_gfm_43298103!$B:$F,5,0)</f>
        <v>10965</v>
      </c>
      <c r="G499" s="3">
        <f t="shared" si="14"/>
        <v>13913</v>
      </c>
      <c r="H499" s="3">
        <f>VLOOKUP(A499,'[2]CUMP Articles'!$A:$H,8,0)</f>
        <v>314.20340299999998</v>
      </c>
      <c r="I499" s="3">
        <f t="shared" si="15"/>
        <v>4371511.9459389998</v>
      </c>
      <c r="J499" s="3" t="str">
        <f>VLOOKUP(A499,'[3]Stock actif'!$A:$K,10,0)</f>
        <v>oui</v>
      </c>
      <c r="K499" s="3" t="str">
        <f>VLOOKUP(A499,'[3]Stock actif'!$A:$K,11,0)</f>
        <v>Nexans</v>
      </c>
    </row>
    <row r="500" spans="1:11" x14ac:dyDescent="0.35">
      <c r="A500" s="3">
        <v>31640</v>
      </c>
      <c r="B500" s="3" t="s">
        <v>497</v>
      </c>
      <c r="C500" s="3" t="s">
        <v>4</v>
      </c>
      <c r="D500" s="3" t="s">
        <v>5</v>
      </c>
      <c r="E500" s="3"/>
      <c r="F500" s="3">
        <f>VLOOKUP(A500,[4]fnd_gfm_43298103!$B:$F,5,0)</f>
        <v>200</v>
      </c>
      <c r="G500" s="3">
        <f t="shared" si="14"/>
        <v>200</v>
      </c>
      <c r="H500" s="3">
        <f>VLOOKUP(A500,'[2]CUMP Articles'!$A:$H,8,0)</f>
        <v>825</v>
      </c>
      <c r="I500" s="3">
        <f t="shared" si="15"/>
        <v>165000</v>
      </c>
      <c r="J500" s="3" t="str">
        <f>VLOOKUP(A500,'[3]Stock actif'!$A:$K,10,0)</f>
        <v>Non</v>
      </c>
      <c r="K500" s="3" t="str">
        <f>VLOOKUP(A500,'[3]Stock actif'!$A:$K,11,0)</f>
        <v>Générique</v>
      </c>
    </row>
    <row r="501" spans="1:11" x14ac:dyDescent="0.35">
      <c r="A501" s="3">
        <v>31641</v>
      </c>
      <c r="B501" s="3" t="s">
        <v>498</v>
      </c>
      <c r="C501" s="3" t="s">
        <v>4</v>
      </c>
      <c r="D501" s="3" t="s">
        <v>5</v>
      </c>
      <c r="E501" s="3"/>
      <c r="F501" s="3">
        <f>VLOOKUP(A501,[4]fnd_gfm_43298103!$B:$F,5,0)</f>
        <v>18</v>
      </c>
      <c r="G501" s="3">
        <f t="shared" si="14"/>
        <v>18</v>
      </c>
      <c r="H501" s="3">
        <f>VLOOKUP(A501,'[2]CUMP Articles'!$A:$H,8,0)</f>
        <v>13713</v>
      </c>
      <c r="I501" s="3">
        <f t="shared" si="15"/>
        <v>246834</v>
      </c>
      <c r="J501" s="3" t="str">
        <f>VLOOKUP(A501,'[3]Stock actif'!$A:$K,10,0)</f>
        <v>Oui</v>
      </c>
      <c r="K501" s="3" t="str">
        <f>VLOOKUP(A501,'[3]Stock actif'!$A:$K,11,0)</f>
        <v>Générique</v>
      </c>
    </row>
    <row r="502" spans="1:11" x14ac:dyDescent="0.35">
      <c r="A502" s="3">
        <v>31643</v>
      </c>
      <c r="B502" s="3" t="s">
        <v>499</v>
      </c>
      <c r="C502" s="3" t="s">
        <v>4</v>
      </c>
      <c r="D502" s="3" t="s">
        <v>5</v>
      </c>
      <c r="E502" s="3">
        <f>VLOOKUP(A502,[1]fnd_gfm_43298102!$B:$F,5,0)</f>
        <v>8060</v>
      </c>
      <c r="F502" s="3">
        <f>VLOOKUP(A502,[4]fnd_gfm_43298103!$B:$F,5,0)</f>
        <v>96000</v>
      </c>
      <c r="G502" s="3">
        <f t="shared" si="14"/>
        <v>104060</v>
      </c>
      <c r="H502" s="3">
        <f>VLOOKUP(A502,'[2]CUMP Articles'!$A:$H,8,0)</f>
        <v>509.534302097649</v>
      </c>
      <c r="I502" s="3">
        <f t="shared" si="15"/>
        <v>53022139.476281352</v>
      </c>
      <c r="J502" s="3" t="str">
        <f>VLOOKUP(A502,'[3]Stock actif'!$A:$K,10,0)</f>
        <v>Oui</v>
      </c>
      <c r="K502" s="3" t="str">
        <f>VLOOKUP(A502,'[3]Stock actif'!$A:$K,11,0)</f>
        <v>Nexans</v>
      </c>
    </row>
    <row r="503" spans="1:11" x14ac:dyDescent="0.35">
      <c r="A503" s="3">
        <v>31644</v>
      </c>
      <c r="B503" s="3" t="s">
        <v>500</v>
      </c>
      <c r="C503" s="3" t="s">
        <v>4</v>
      </c>
      <c r="D503" s="3" t="s">
        <v>5</v>
      </c>
      <c r="E503" s="3">
        <f>VLOOKUP(A503,[1]fnd_gfm_43298102!$B:$F,5,0)</f>
        <v>35</v>
      </c>
      <c r="F503" s="3">
        <f>VLOOKUP(A503,[4]fnd_gfm_43298103!$B:$F,5,0)</f>
        <v>680</v>
      </c>
      <c r="G503" s="3">
        <f t="shared" si="14"/>
        <v>715</v>
      </c>
      <c r="H503" s="3">
        <f>VLOOKUP(A503,'[2]CUMP Articles'!$A:$H,8,0)</f>
        <v>2147.7738444980901</v>
      </c>
      <c r="I503" s="3">
        <f t="shared" si="15"/>
        <v>1535658.2988161345</v>
      </c>
      <c r="J503" s="3" t="str">
        <f>VLOOKUP(A503,'[3]Stock actif'!$A:$K,10,0)</f>
        <v>Non</v>
      </c>
      <c r="K503" s="3" t="str">
        <f>VLOOKUP(A503,'[3]Stock actif'!$A:$K,11,0)</f>
        <v>Legrand</v>
      </c>
    </row>
    <row r="504" spans="1:11" x14ac:dyDescent="0.35">
      <c r="A504" s="3">
        <v>31664</v>
      </c>
      <c r="B504" s="3" t="s">
        <v>501</v>
      </c>
      <c r="C504" s="3" t="s">
        <v>4</v>
      </c>
      <c r="D504" s="3" t="s">
        <v>5</v>
      </c>
      <c r="E504" s="3"/>
      <c r="F504" s="3">
        <f>VLOOKUP(A504,[4]fnd_gfm_43298103!$B:$F,5,0)</f>
        <v>10</v>
      </c>
      <c r="G504" s="3">
        <f t="shared" si="14"/>
        <v>10</v>
      </c>
      <c r="H504" s="3">
        <f>VLOOKUP(A504,'[2]CUMP Articles'!$A:$H,8,0)</f>
        <v>128422</v>
      </c>
      <c r="I504" s="3">
        <f t="shared" si="15"/>
        <v>1284220</v>
      </c>
      <c r="J504" s="3" t="str">
        <f>VLOOKUP(A504,'[3]Stock actif'!$A:$K,10,0)</f>
        <v>Oui</v>
      </c>
      <c r="K504" s="3" t="str">
        <f>VLOOKUP(A504,'[3]Stock actif'!$A:$K,11,0)</f>
        <v>Générique</v>
      </c>
    </row>
    <row r="505" spans="1:11" x14ac:dyDescent="0.35">
      <c r="A505" s="3">
        <v>31665</v>
      </c>
      <c r="B505" s="3" t="s">
        <v>502</v>
      </c>
      <c r="C505" s="3" t="s">
        <v>4</v>
      </c>
      <c r="D505" s="3" t="s">
        <v>5</v>
      </c>
      <c r="E505" s="3"/>
      <c r="F505" s="3">
        <f>VLOOKUP(A505,[4]fnd_gfm_43298103!$B:$F,5,0)</f>
        <v>16</v>
      </c>
      <c r="G505" s="3">
        <f t="shared" si="14"/>
        <v>16</v>
      </c>
      <c r="H505" s="3">
        <f>VLOOKUP(A505,'[2]CUMP Articles'!$A:$H,8,0)</f>
        <v>307299</v>
      </c>
      <c r="I505" s="3">
        <f t="shared" si="15"/>
        <v>4916784</v>
      </c>
      <c r="J505" s="3" t="str">
        <f>VLOOKUP(A505,'[3]Stock actif'!$A:$K,10,0)</f>
        <v>Oui</v>
      </c>
      <c r="K505" s="3" t="str">
        <f>VLOOKUP(A505,'[3]Stock actif'!$A:$K,11,0)</f>
        <v>Générique</v>
      </c>
    </row>
    <row r="506" spans="1:11" x14ac:dyDescent="0.35">
      <c r="A506" s="3">
        <v>31669</v>
      </c>
      <c r="B506" s="3" t="s">
        <v>346</v>
      </c>
      <c r="C506" s="3" t="s">
        <v>4</v>
      </c>
      <c r="D506" s="3" t="s">
        <v>5</v>
      </c>
      <c r="E506" s="3">
        <f>VLOOKUP(A506,[1]fnd_gfm_43298102!$B:$F,5,0)</f>
        <v>2</v>
      </c>
      <c r="F506" s="3"/>
      <c r="G506" s="3">
        <f t="shared" si="14"/>
        <v>2</v>
      </c>
      <c r="H506" s="3">
        <f>VLOOKUP(A506,'[2]CUMP Articles'!$A:$H,8,0)</f>
        <v>75735</v>
      </c>
      <c r="I506" s="3">
        <f t="shared" si="15"/>
        <v>151470</v>
      </c>
      <c r="J506" s="3" t="str">
        <f>VLOOKUP(A506,'[3]Stock actif'!$A:$K,10,0)</f>
        <v>Oui</v>
      </c>
      <c r="K506" s="3" t="str">
        <f>VLOOKUP(A506,'[3]Stock actif'!$A:$K,11,0)</f>
        <v>Cisco</v>
      </c>
    </row>
    <row r="507" spans="1:11" x14ac:dyDescent="0.35">
      <c r="A507" s="3">
        <v>31670</v>
      </c>
      <c r="B507" s="3" t="s">
        <v>503</v>
      </c>
      <c r="C507" s="3" t="s">
        <v>4</v>
      </c>
      <c r="D507" s="3" t="s">
        <v>5</v>
      </c>
      <c r="E507" s="3">
        <f>VLOOKUP(A507,[1]fnd_gfm_43298102!$B:$F,5,0)</f>
        <v>3</v>
      </c>
      <c r="F507" s="3"/>
      <c r="G507" s="3">
        <f t="shared" si="14"/>
        <v>3</v>
      </c>
      <c r="H507" s="3">
        <f>VLOOKUP(A507,'[2]CUMP Articles'!$A:$H,8,0)</f>
        <v>392656.947347229</v>
      </c>
      <c r="I507" s="3">
        <f t="shared" si="15"/>
        <v>1177970.8420416871</v>
      </c>
      <c r="J507" s="3" t="str">
        <f>VLOOKUP(A507,'[3]Stock actif'!$A:$K,10,0)</f>
        <v>Oui</v>
      </c>
      <c r="K507" s="3" t="str">
        <f>VLOOKUP(A507,'[3]Stock actif'!$A:$K,11,0)</f>
        <v>Cisco</v>
      </c>
    </row>
    <row r="508" spans="1:11" x14ac:dyDescent="0.35">
      <c r="A508" s="3">
        <v>31674</v>
      </c>
      <c r="B508" s="3" t="s">
        <v>504</v>
      </c>
      <c r="C508" s="3" t="s">
        <v>4</v>
      </c>
      <c r="D508" s="3" t="s">
        <v>5</v>
      </c>
      <c r="E508" s="3">
        <f>VLOOKUP(A508,[1]fnd_gfm_43298102!$B:$F,5,0)</f>
        <v>2</v>
      </c>
      <c r="F508" s="3">
        <f>VLOOKUP(A508,[4]fnd_gfm_43298103!$B:$F,5,0)</f>
        <v>10</v>
      </c>
      <c r="G508" s="3">
        <f t="shared" si="14"/>
        <v>12</v>
      </c>
      <c r="H508" s="3">
        <f>VLOOKUP(A508,'[2]CUMP Articles'!$A:$H,8,0)</f>
        <v>92829.47346234</v>
      </c>
      <c r="I508" s="3">
        <f t="shared" si="15"/>
        <v>1113953.6815480799</v>
      </c>
      <c r="J508" s="3" t="str">
        <f>VLOOKUP(A508,'[3]Stock actif'!$A:$K,10,0)</f>
        <v>Oui</v>
      </c>
      <c r="K508" s="3" t="str">
        <f>VLOOKUP(A508,'[3]Stock actif'!$A:$K,11,0)</f>
        <v>Générique</v>
      </c>
    </row>
    <row r="509" spans="1:11" x14ac:dyDescent="0.35">
      <c r="A509" s="3">
        <v>31675</v>
      </c>
      <c r="B509" s="3" t="s">
        <v>505</v>
      </c>
      <c r="C509" s="3" t="s">
        <v>4</v>
      </c>
      <c r="D509" s="3" t="s">
        <v>5</v>
      </c>
      <c r="E509" s="3">
        <f>VLOOKUP(A509,[1]fnd_gfm_43298102!$B:$F,5,0)</f>
        <v>11</v>
      </c>
      <c r="F509" s="3">
        <f>VLOOKUP(A509,[4]fnd_gfm_43298103!$B:$F,5,0)</f>
        <v>82</v>
      </c>
      <c r="G509" s="3">
        <f t="shared" si="14"/>
        <v>93</v>
      </c>
      <c r="H509" s="3">
        <f>VLOOKUP(A509,'[2]CUMP Articles'!$A:$H,8,0)</f>
        <v>35162.190121909</v>
      </c>
      <c r="I509" s="3">
        <f t="shared" si="15"/>
        <v>3270083.6813375368</v>
      </c>
      <c r="J509" s="3" t="str">
        <f>VLOOKUP(A509,'[3]Stock actif'!$A:$K,10,0)</f>
        <v>Oui</v>
      </c>
      <c r="K509" s="3" t="str">
        <f>VLOOKUP(A509,'[3]Stock actif'!$A:$K,11,0)</f>
        <v>Générique</v>
      </c>
    </row>
    <row r="510" spans="1:11" x14ac:dyDescent="0.35">
      <c r="A510" s="3">
        <v>31691</v>
      </c>
      <c r="B510" s="3" t="s">
        <v>506</v>
      </c>
      <c r="C510" s="3" t="s">
        <v>4</v>
      </c>
      <c r="D510" s="3" t="s">
        <v>120</v>
      </c>
      <c r="E510" s="3">
        <f>VLOOKUP(A510,[1]fnd_gfm_43298102!$B:$F,5,0)</f>
        <v>2</v>
      </c>
      <c r="F510" s="3">
        <f>VLOOKUP(A510,[4]fnd_gfm_43298103!$B:$F,5,0)</f>
        <v>2</v>
      </c>
      <c r="G510" s="3">
        <f t="shared" si="14"/>
        <v>4</v>
      </c>
      <c r="H510" s="3">
        <f>VLOOKUP(A510,'[2]CUMP Articles'!$A:$H,8,0)</f>
        <v>124631.83</v>
      </c>
      <c r="I510" s="3">
        <f t="shared" si="15"/>
        <v>498527.32</v>
      </c>
      <c r="J510" s="3" t="str">
        <f>VLOOKUP(A510,'[3]Stock actif'!$A:$K,10,0)</f>
        <v>Oui</v>
      </c>
      <c r="K510" s="3" t="str">
        <f>VLOOKUP(A510,'[3]Stock actif'!$A:$K,11,0)</f>
        <v>Alcatel-Lucent</v>
      </c>
    </row>
    <row r="511" spans="1:11" x14ac:dyDescent="0.35">
      <c r="A511" s="3">
        <v>31696</v>
      </c>
      <c r="B511" s="3" t="s">
        <v>507</v>
      </c>
      <c r="C511" s="3" t="s">
        <v>4</v>
      </c>
      <c r="D511" s="3" t="s">
        <v>5</v>
      </c>
      <c r="E511" s="3">
        <f>VLOOKUP(A511,[1]fnd_gfm_43298102!$B:$F,5,0)</f>
        <v>3</v>
      </c>
      <c r="F511" s="3">
        <f>VLOOKUP(A511,[4]fnd_gfm_43298103!$B:$F,5,0)</f>
        <v>13</v>
      </c>
      <c r="G511" s="3">
        <f t="shared" si="14"/>
        <v>16</v>
      </c>
      <c r="H511" s="3">
        <f>VLOOKUP(A511,'[2]CUMP Articles'!$A:$H,8,0)</f>
        <v>24036.451003333299</v>
      </c>
      <c r="I511" s="3">
        <f t="shared" si="15"/>
        <v>384583.21605333278</v>
      </c>
      <c r="J511" s="3" t="str">
        <f>VLOOKUP(A511,'[3]Stock actif'!$A:$K,10,0)</f>
        <v>oui</v>
      </c>
      <c r="K511" s="3" t="str">
        <f>VLOOKUP(A511,'[3]Stock actif'!$A:$K,11,0)</f>
        <v>Alcatel-Lucent</v>
      </c>
    </row>
    <row r="512" spans="1:11" x14ac:dyDescent="0.35">
      <c r="A512" s="3">
        <v>31697</v>
      </c>
      <c r="B512" s="3" t="s">
        <v>508</v>
      </c>
      <c r="C512" s="3" t="s">
        <v>4</v>
      </c>
      <c r="D512" s="3" t="s">
        <v>5</v>
      </c>
      <c r="E512" s="3">
        <f>VLOOKUP(A512,[1]fnd_gfm_43298102!$B:$F,5,0)</f>
        <v>2</v>
      </c>
      <c r="F512" s="3"/>
      <c r="G512" s="3">
        <f t="shared" si="14"/>
        <v>2</v>
      </c>
      <c r="H512" s="3">
        <f>VLOOKUP(A512,'[2]CUMP Articles'!$A:$H,8,0)</f>
        <v>419653.65728239401</v>
      </c>
      <c r="I512" s="3">
        <f t="shared" si="15"/>
        <v>839307.31456478802</v>
      </c>
      <c r="J512" s="3" t="str">
        <f>VLOOKUP(A512,'[3]Stock actif'!$A:$K,10,0)</f>
        <v>Oui</v>
      </c>
      <c r="K512" s="3" t="str">
        <f>VLOOKUP(A512,'[3]Stock actif'!$A:$K,11,0)</f>
        <v>Fortinet</v>
      </c>
    </row>
    <row r="513" spans="1:11" x14ac:dyDescent="0.35">
      <c r="A513" s="3">
        <v>31714</v>
      </c>
      <c r="B513" s="3" t="s">
        <v>509</v>
      </c>
      <c r="C513" s="3" t="s">
        <v>4</v>
      </c>
      <c r="D513" s="3" t="s">
        <v>5</v>
      </c>
      <c r="E513" s="3"/>
      <c r="F513" s="3">
        <f>VLOOKUP(A513,[4]fnd_gfm_43298103!$B:$F,5,0)</f>
        <v>1445</v>
      </c>
      <c r="G513" s="3">
        <f t="shared" si="14"/>
        <v>1445</v>
      </c>
      <c r="H513" s="3">
        <f>VLOOKUP(A513,'[2]CUMP Articles'!$A:$H,8,0)</f>
        <v>238</v>
      </c>
      <c r="I513" s="3">
        <f t="shared" si="15"/>
        <v>343910</v>
      </c>
      <c r="J513" s="3" t="str">
        <f>VLOOKUP(A513,'[3]Stock actif'!$A:$K,10,0)</f>
        <v>Oui</v>
      </c>
      <c r="K513" s="3" t="str">
        <f>VLOOKUP(A513,'[3]Stock actif'!$A:$K,11,0)</f>
        <v>Nexans</v>
      </c>
    </row>
    <row r="514" spans="1:11" x14ac:dyDescent="0.35">
      <c r="A514" s="3">
        <v>31717</v>
      </c>
      <c r="B514" s="3" t="s">
        <v>510</v>
      </c>
      <c r="C514" s="3" t="s">
        <v>4</v>
      </c>
      <c r="D514" s="3" t="s">
        <v>5</v>
      </c>
      <c r="E514" s="3">
        <f>VLOOKUP(A514,[1]fnd_gfm_43298102!$B:$F,5,0)</f>
        <v>1</v>
      </c>
      <c r="F514" s="3"/>
      <c r="G514" s="3">
        <f t="shared" si="14"/>
        <v>1</v>
      </c>
      <c r="H514" s="3">
        <f>VLOOKUP(A514,'[2]CUMP Articles'!$A:$H,8,0)</f>
        <v>903252.78899999999</v>
      </c>
      <c r="I514" s="3">
        <f t="shared" si="15"/>
        <v>903252.78899999999</v>
      </c>
      <c r="J514" s="3" t="str">
        <f>VLOOKUP(A514,'[3]Stock actif'!$A:$K,10,0)</f>
        <v>Oui</v>
      </c>
      <c r="K514" s="3" t="str">
        <f>VLOOKUP(A514,'[3]Stock actif'!$A:$K,11,0)</f>
        <v>Alcatel-Lucent</v>
      </c>
    </row>
    <row r="515" spans="1:11" x14ac:dyDescent="0.35">
      <c r="A515" s="3">
        <v>31718</v>
      </c>
      <c r="B515" s="3" t="s">
        <v>511</v>
      </c>
      <c r="C515" s="3" t="s">
        <v>4</v>
      </c>
      <c r="D515" s="3" t="s">
        <v>5</v>
      </c>
      <c r="E515" s="3"/>
      <c r="F515" s="3">
        <f>VLOOKUP(A515,[4]fnd_gfm_43298103!$B:$F,5,0)</f>
        <v>5</v>
      </c>
      <c r="G515" s="3">
        <f t="shared" ref="G515:G526" si="16">SUM(E515:F515)</f>
        <v>5</v>
      </c>
      <c r="H515" s="3">
        <f>VLOOKUP(A515,'[2]CUMP Articles'!$A:$H,8,0)</f>
        <v>228853.32865384599</v>
      </c>
      <c r="I515" s="3">
        <f t="shared" ref="I515:I526" si="17">H515*G515</f>
        <v>1144266.6432692299</v>
      </c>
      <c r="J515" s="3" t="str">
        <f>VLOOKUP(A515,'[3]Stock actif'!$A:$K,10,0)</f>
        <v>Oui</v>
      </c>
      <c r="K515" s="3" t="str">
        <f>VLOOKUP(A515,'[3]Stock actif'!$A:$K,11,0)</f>
        <v>Alcatel-Lucent</v>
      </c>
    </row>
    <row r="516" spans="1:11" x14ac:dyDescent="0.35">
      <c r="A516" s="3">
        <v>31738</v>
      </c>
      <c r="B516" s="3" t="s">
        <v>512</v>
      </c>
      <c r="C516" s="3" t="s">
        <v>4</v>
      </c>
      <c r="D516" s="3" t="s">
        <v>5</v>
      </c>
      <c r="E516" s="3"/>
      <c r="F516" s="3">
        <f>VLOOKUP(A516,[4]fnd_gfm_43298103!$B:$F,5,0)</f>
        <v>100</v>
      </c>
      <c r="G516" s="3">
        <f t="shared" si="16"/>
        <v>100</v>
      </c>
      <c r="H516" s="3">
        <f>VLOOKUP(A516,'[2]CUMP Articles'!$A:$H,8,0)</f>
        <v>525</v>
      </c>
      <c r="I516" s="3">
        <f t="shared" si="17"/>
        <v>52500</v>
      </c>
      <c r="J516" s="3" t="str">
        <f>VLOOKUP(A516,'[3]Stock actif'!$A:$K,10,0)</f>
        <v>Non</v>
      </c>
      <c r="K516" s="3" t="str">
        <f>VLOOKUP(A516,'[3]Stock actif'!$A:$K,11,0)</f>
        <v>Local</v>
      </c>
    </row>
    <row r="517" spans="1:11" x14ac:dyDescent="0.35">
      <c r="A517" s="3">
        <v>31740</v>
      </c>
      <c r="B517" s="3" t="s">
        <v>513</v>
      </c>
      <c r="C517" s="3" t="s">
        <v>4</v>
      </c>
      <c r="D517" s="3" t="s">
        <v>5</v>
      </c>
      <c r="E517" s="3">
        <f>VLOOKUP(A517,[1]fnd_gfm_43298102!$B:$F,5,0)</f>
        <v>15</v>
      </c>
      <c r="F517" s="3">
        <f>VLOOKUP(A517,[4]fnd_gfm_43298103!$B:$F,5,0)</f>
        <v>14</v>
      </c>
      <c r="G517" s="3">
        <f t="shared" si="16"/>
        <v>29</v>
      </c>
      <c r="H517" s="3">
        <f>VLOOKUP(A517,'[2]CUMP Articles'!$A:$H,8,0)</f>
        <v>213330.32739430401</v>
      </c>
      <c r="I517" s="3">
        <f t="shared" si="17"/>
        <v>6186579.4944348168</v>
      </c>
      <c r="J517" s="3" t="str">
        <f>VLOOKUP(A517,'[3]Stock actif'!$A:$K,10,0)</f>
        <v>Oui</v>
      </c>
      <c r="K517" s="3" t="str">
        <f>VLOOKUP(A517,'[3]Stock actif'!$A:$K,11,0)</f>
        <v>Alcatel-Lucent</v>
      </c>
    </row>
    <row r="518" spans="1:11" x14ac:dyDescent="0.35">
      <c r="A518" s="3">
        <v>31817</v>
      </c>
      <c r="B518" s="3" t="s">
        <v>514</v>
      </c>
      <c r="C518" s="3" t="s">
        <v>4</v>
      </c>
      <c r="D518" s="3" t="s">
        <v>5</v>
      </c>
      <c r="E518" s="3"/>
      <c r="F518" s="3">
        <f>VLOOKUP(A518,[4]fnd_gfm_43298103!$B:$F,5,0)</f>
        <v>1</v>
      </c>
      <c r="G518" s="3">
        <f t="shared" si="16"/>
        <v>1</v>
      </c>
      <c r="H518" s="3">
        <f>VLOOKUP(A518,'[2]CUMP Articles'!$A:$H,8,0)</f>
        <v>495566</v>
      </c>
      <c r="I518" s="3">
        <f t="shared" si="17"/>
        <v>495566</v>
      </c>
      <c r="J518" s="3" t="str">
        <f>VLOOKUP(A518,'[3]Stock actif'!$A:$K,10,0)</f>
        <v>NON</v>
      </c>
      <c r="K518" s="3" t="str">
        <f>VLOOKUP(A518,'[3]Stock actif'!$A:$K,11,0)</f>
        <v>Générique</v>
      </c>
    </row>
    <row r="519" spans="1:11" x14ac:dyDescent="0.35">
      <c r="A519" s="3">
        <v>31823</v>
      </c>
      <c r="B519" s="3" t="s">
        <v>515</v>
      </c>
      <c r="C519" s="3" t="s">
        <v>4</v>
      </c>
      <c r="D519" s="3" t="s">
        <v>5</v>
      </c>
      <c r="E519" s="3">
        <f>VLOOKUP(A519,[1]fnd_gfm_43298102!$B:$F,5,0)</f>
        <v>1</v>
      </c>
      <c r="F519" s="3"/>
      <c r="G519" s="3">
        <f t="shared" si="16"/>
        <v>1</v>
      </c>
      <c r="H519" s="3">
        <f>VLOOKUP(A519,'[2]CUMP Articles'!$A:$H,8,0)</f>
        <v>761920.67652802297</v>
      </c>
      <c r="I519" s="3">
        <f t="shared" si="17"/>
        <v>761920.67652802297</v>
      </c>
      <c r="J519" s="3" t="str">
        <f>VLOOKUP(A519,'[3]Stock actif'!$A:$K,10,0)</f>
        <v>Oui</v>
      </c>
      <c r="K519" s="3" t="str">
        <f>VLOOKUP(A519,'[3]Stock actif'!$A:$K,11,0)</f>
        <v>Cisco</v>
      </c>
    </row>
    <row r="520" spans="1:11" x14ac:dyDescent="0.35">
      <c r="A520" s="3">
        <v>31824</v>
      </c>
      <c r="B520" s="3" t="s">
        <v>516</v>
      </c>
      <c r="C520" s="3" t="s">
        <v>4</v>
      </c>
      <c r="D520" s="3" t="s">
        <v>5</v>
      </c>
      <c r="E520" s="3">
        <f>VLOOKUP(A520,[1]fnd_gfm_43298102!$B:$F,5,0)</f>
        <v>23</v>
      </c>
      <c r="F520" s="3">
        <f>VLOOKUP(A520,[4]fnd_gfm_43298103!$B:$F,5,0)</f>
        <v>40</v>
      </c>
      <c r="G520" s="3">
        <f t="shared" si="16"/>
        <v>63</v>
      </c>
      <c r="H520" s="3">
        <f>VLOOKUP(A520,'[2]CUMP Articles'!$A:$H,8,0)</f>
        <v>8792.27053140096</v>
      </c>
      <c r="I520" s="3">
        <f t="shared" si="17"/>
        <v>553913.04347826052</v>
      </c>
      <c r="J520" s="3" t="str">
        <f>VLOOKUP(A520,'[3]Stock actif'!$A:$K,10,0)</f>
        <v>Non</v>
      </c>
      <c r="K520" s="3" t="str">
        <f>VLOOKUP(A520,'[3]Stock actif'!$A:$K,11,0)</f>
        <v>Legrand</v>
      </c>
    </row>
    <row r="521" spans="1:11" x14ac:dyDescent="0.35">
      <c r="A521" s="3">
        <v>31826</v>
      </c>
      <c r="B521" s="3" t="s">
        <v>517</v>
      </c>
      <c r="C521" s="3" t="s">
        <v>4</v>
      </c>
      <c r="D521" s="3" t="s">
        <v>5</v>
      </c>
      <c r="E521" s="3">
        <f>VLOOKUP(A521,[1]fnd_gfm_43298102!$B:$F,5,0)</f>
        <v>1</v>
      </c>
      <c r="F521" s="3">
        <f>VLOOKUP(A521,[4]fnd_gfm_43298103!$B:$F,5,0)</f>
        <v>29</v>
      </c>
      <c r="G521" s="3">
        <f t="shared" si="16"/>
        <v>30</v>
      </c>
      <c r="H521" s="3">
        <f>VLOOKUP(A521,'[2]CUMP Articles'!$A:$H,8,0)</f>
        <v>1350</v>
      </c>
      <c r="I521" s="3">
        <f t="shared" si="17"/>
        <v>40500</v>
      </c>
      <c r="J521" s="3" t="str">
        <f>VLOOKUP(A521,'[3]Stock actif'!$A:$K,10,0)</f>
        <v>Non</v>
      </c>
      <c r="K521" s="3" t="str">
        <f>VLOOKUP(A521,'[3]Stock actif'!$A:$K,11,0)</f>
        <v>Générique</v>
      </c>
    </row>
    <row r="522" spans="1:11" x14ac:dyDescent="0.35">
      <c r="A522" s="3">
        <v>31840</v>
      </c>
      <c r="B522" s="3" t="s">
        <v>518</v>
      </c>
      <c r="C522" s="3" t="s">
        <v>4</v>
      </c>
      <c r="D522" s="3" t="s">
        <v>5</v>
      </c>
      <c r="E522" s="3"/>
      <c r="F522" s="3">
        <f>VLOOKUP(A522,[4]fnd_gfm_43298103!$B:$F,5,0)</f>
        <v>40</v>
      </c>
      <c r="G522" s="3">
        <f t="shared" si="16"/>
        <v>40</v>
      </c>
      <c r="H522" s="3">
        <f>VLOOKUP(A522,'[2]CUMP Articles'!$A:$H,8,0)</f>
        <v>94457.825443722904</v>
      </c>
      <c r="I522" s="3">
        <f t="shared" si="17"/>
        <v>3778313.0177489161</v>
      </c>
      <c r="J522" s="3" t="str">
        <f>VLOOKUP(A522,'[3]Stock actif'!$A:$K,10,0)</f>
        <v>Oui</v>
      </c>
      <c r="K522" s="3" t="str">
        <f>VLOOKUP(A522,'[3]Stock actif'!$A:$K,11,0)</f>
        <v>Alcatel-Lucent</v>
      </c>
    </row>
    <row r="523" spans="1:11" x14ac:dyDescent="0.35">
      <c r="A523" s="3">
        <v>31841</v>
      </c>
      <c r="B523" s="3" t="s">
        <v>519</v>
      </c>
      <c r="C523" s="3" t="s">
        <v>4</v>
      </c>
      <c r="D523" s="3" t="s">
        <v>5</v>
      </c>
      <c r="E523" s="3">
        <f>VLOOKUP(A523,[1]fnd_gfm_43298102!$B:$F,5,0)</f>
        <v>61</v>
      </c>
      <c r="F523" s="3"/>
      <c r="G523" s="3">
        <f t="shared" si="16"/>
        <v>61</v>
      </c>
      <c r="H523" s="3">
        <f>VLOOKUP(A523,'[2]CUMP Articles'!$A:$H,8,0)</f>
        <v>2541.2125323794198</v>
      </c>
      <c r="I523" s="3">
        <f t="shared" si="17"/>
        <v>155013.9644751446</v>
      </c>
      <c r="J523" s="3" t="str">
        <f>VLOOKUP(A523,'[3]Stock actif'!$A:$K,10,0)</f>
        <v>Non</v>
      </c>
      <c r="K523" s="3" t="str">
        <f>VLOOKUP(A523,'[3]Stock actif'!$A:$K,11,0)</f>
        <v>Générique</v>
      </c>
    </row>
    <row r="524" spans="1:11" x14ac:dyDescent="0.35">
      <c r="A524" s="3">
        <v>31842</v>
      </c>
      <c r="B524" s="3" t="s">
        <v>520</v>
      </c>
      <c r="C524" s="3" t="s">
        <v>4</v>
      </c>
      <c r="D524" s="3" t="s">
        <v>5</v>
      </c>
      <c r="E524" s="3">
        <f>VLOOKUP(A524,[1]fnd_gfm_43298102!$B:$F,5,0)</f>
        <v>50</v>
      </c>
      <c r="F524" s="3"/>
      <c r="G524" s="3">
        <f t="shared" si="16"/>
        <v>50</v>
      </c>
      <c r="H524" s="3">
        <f>VLOOKUP(A524,'[2]CUMP Articles'!$A:$H,8,0)</f>
        <v>1000</v>
      </c>
      <c r="I524" s="3">
        <f t="shared" si="17"/>
        <v>50000</v>
      </c>
      <c r="J524" s="3" t="str">
        <f>VLOOKUP(A524,'[3]Stock actif'!$A:$K,10,0)</f>
        <v>Non</v>
      </c>
      <c r="K524" s="3" t="str">
        <f>VLOOKUP(A524,'[3]Stock actif'!$A:$K,11,0)</f>
        <v>Générique</v>
      </c>
    </row>
    <row r="525" spans="1:11" x14ac:dyDescent="0.35">
      <c r="A525" s="3">
        <v>32069</v>
      </c>
      <c r="B525" s="3" t="s">
        <v>521</v>
      </c>
      <c r="C525" s="3" t="s">
        <v>4</v>
      </c>
      <c r="D525" s="3" t="s">
        <v>5</v>
      </c>
      <c r="E525" s="3">
        <f>VLOOKUP(A525,[1]fnd_gfm_43298102!$B:$F,5,0)</f>
        <v>9</v>
      </c>
      <c r="F525" s="3"/>
      <c r="G525" s="3">
        <f t="shared" si="16"/>
        <v>9</v>
      </c>
      <c r="H525" s="3">
        <f>VLOOKUP(A525,'[2]CUMP Articles'!$A:$H,8,0)</f>
        <v>361967.39031033003</v>
      </c>
      <c r="I525" s="3">
        <f t="shared" si="17"/>
        <v>3257706.5127929701</v>
      </c>
      <c r="J525" s="3" t="str">
        <f>VLOOKUP(A525,'[3]Stock actif'!$A:$K,10,0)</f>
        <v>Oui</v>
      </c>
      <c r="K525" s="3" t="str">
        <f>VLOOKUP(A525,'[3]Stock actif'!$A:$K,11,0)</f>
        <v>Fortinet</v>
      </c>
    </row>
    <row r="526" spans="1:11" x14ac:dyDescent="0.35">
      <c r="A526" s="3">
        <v>34002</v>
      </c>
      <c r="B526" s="3" t="s">
        <v>522</v>
      </c>
      <c r="C526" s="3" t="s">
        <v>4</v>
      </c>
      <c r="D526" s="3" t="s">
        <v>5</v>
      </c>
      <c r="E526" s="3">
        <f>VLOOKUP(A526,[1]fnd_gfm_43298102!$B:$F,5,0)</f>
        <v>14</v>
      </c>
      <c r="F526" s="3"/>
      <c r="G526" s="3">
        <f t="shared" si="16"/>
        <v>14</v>
      </c>
      <c r="H526" s="3">
        <f>VLOOKUP(A526,'[2]CUMP Articles'!$A:$H,8,0)</f>
        <v>4000</v>
      </c>
      <c r="I526" s="3">
        <f t="shared" si="17"/>
        <v>56000</v>
      </c>
      <c r="J526" s="3" t="str">
        <f>VLOOKUP(A526,'[3]Stock actif'!$A:$K,10,0)</f>
        <v>Non</v>
      </c>
      <c r="K526" s="3" t="str">
        <f>VLOOKUP(A526,'[3]Stock actif'!$A:$K,11,0)</f>
        <v>Générique</v>
      </c>
    </row>
    <row r="527" spans="1:11" x14ac:dyDescent="0.35">
      <c r="A527" s="3"/>
      <c r="B527" s="4" t="s">
        <v>532</v>
      </c>
      <c r="C527" s="6"/>
      <c r="D527" s="7"/>
      <c r="E527" s="7"/>
      <c r="F527" s="7"/>
      <c r="G527" s="7"/>
      <c r="H527" s="8"/>
      <c r="I527" s="5">
        <f>SUM(I2:I526)</f>
        <v>1003237628.8818427</v>
      </c>
      <c r="J527" s="3"/>
      <c r="K527" s="3"/>
    </row>
  </sheetData>
  <mergeCells count="1">
    <mergeCell ref="C527:H5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actif</vt:lpstr>
    </vt:vector>
  </TitlesOfParts>
  <Company>SONATEL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Mamadou Salif BADJI [SNT DAL/DAI/SLCI]</dc:creator>
  <cp:lastModifiedBy>Mouhamadou Lamine DIOP [SNT DDE/PV/DAV]</cp:lastModifiedBy>
  <dcterms:created xsi:type="dcterms:W3CDTF">2024-05-10T08:43:23Z</dcterms:created>
  <dcterms:modified xsi:type="dcterms:W3CDTF">2026-04-22T08:18:51Z</dcterms:modified>
</cp:coreProperties>
</file>